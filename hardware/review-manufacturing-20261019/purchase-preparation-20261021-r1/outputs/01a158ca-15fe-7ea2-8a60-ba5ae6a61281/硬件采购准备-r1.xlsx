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5b346b13b341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总表" sheetId="1" r:id="R083fe1a710b7421e"/>
    <x:sheet xmlns:r="http://schemas.openxmlformats.org/officeDocument/2006/relationships" name="板上物料" sheetId="2" r:id="R798fb6244dc845e9"/>
    <x:sheet xmlns:r="http://schemas.openxmlformats.org/officeDocument/2006/relationships" name="小屏接线" sheetId="3" r:id="R1e52f357dbf548ec"/>
    <x:sheet xmlns:r="http://schemas.openxmlformats.org/officeDocument/2006/relationships" name="待关闭事项" sheetId="4" r:id="R097cfe5a7b2e41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 hh:mm"/>
    <x:numFmt numFmtId="202" formatCode="#,##0"/>
  </x:numFmts>
  <x:fonts count="6">
    <x:font>
      <x:sz val="11"/>
      <x:name val="Carlito"/>
    </x:font>
    <x:font>
      <x:sz val="10"/>
      <x:color rgb="FF213547"/>
      <x:name val="Microsoft YaHei"/>
    </x:font>
    <x:font>
      <x:b/>
      <x:sz val="16"/>
      <x:color rgb="FF213547"/>
      <x:name val="Microsoft YaHei"/>
    </x:font>
    <x:font>
      <x:b/>
      <x:sz val="10"/>
      <x:color rgb="FFFFFFFF"/>
      <x:name val="Microsoft YaHei"/>
    </x:font>
    <x:font>
      <x:sz val="9"/>
      <x:color rgb="FF566879"/>
      <x:name val="Microsoft YaHei"/>
    </x:font>
    <x:font>
      <x:sz val="10"/>
      <x:color rgb="FF1E5CAD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8445C"/>
      </x:patternFill>
    </x:fill>
    <x:fill>
      <x:patternFill patternType="solid">
        <x:fgColor rgb="FFFFF1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855B0B"/>
      </x:font>
      <x:fill>
        <x:patternFill patternType="solid">
          <x:bgColor rgb="FFFFF1CE"/>
        </x:patternFill>
      </x:fill>
    </x:dxf>
    <x:dxf>
      <x:font>
        <x:b/>
        <x:color rgb="FF9B2727"/>
      </x:font>
      <x:fill>
        <x:patternFill patternType="solid">
          <x:bgColor rgb="FFFBE3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8b2f9dde7141d8" /><Relationship Type="http://schemas.openxmlformats.org/officeDocument/2006/relationships/theme" Target="/xl/theme/theme1.xml" Id="R1854b45e5e734f6c" /><Relationship Type="http://schemas.openxmlformats.org/officeDocument/2006/relationships/sharedStrings" Target="/xl/sharedStrings.xml" Id="R384d2a6b05fa43fd" /><Relationship Type="http://schemas.openxmlformats.org/officeDocument/2006/relationships/worksheet" Target="/xl/worksheets/sheet1.xml" Id="R083fe1a710b7421e" /><Relationship Type="http://schemas.openxmlformats.org/officeDocument/2006/relationships/worksheet" Target="/xl/worksheets/sheet2.xml" Id="R798fb6244dc845e9" /><Relationship Type="http://schemas.openxmlformats.org/officeDocument/2006/relationships/worksheet" Target="/xl/worksheets/sheet3.xml" Id="R1e52f357dbf548ec" /><Relationship Type="http://schemas.openxmlformats.org/officeDocument/2006/relationships/worksheet" Target="/xl/worksheets/sheet4.xml" Id="R097cfe5a7b2e4181" /></Relationships>
</file>

<file path=xl/tables/table1.xml><?xml version="1.0" encoding="utf-8"?>
<x:table xmlns:x="http://schemas.openxmlformats.org/spreadsheetml/2006/main" id="1" name="ExternalScope" displayName="ExternalScope" ref="A6:G38" headerRowCount="1" totalsRowCount="0" totalsRowShown="0">
  <x:autoFilter ref="A6:G38"/>
  <x:tableColumns count="7">
    <x:tableColumn id="1" name="编号"/>
    <x:tableColumn id="2" name="项目"/>
    <x:tableColumn id="3" name="型号或加工规格"/>
    <x:tableColumn id="4" name="数量"/>
    <x:tableColumn id="5" name="单位"/>
    <x:tableColumn id="6" name="当前准备状态"/>
    <x:tableColumn id="7" name="下单前条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oardMaterials" displayName="BoardMaterials" ref="A7:M43" headerRowCount="1" totalsRowCount="0" totalsRowShown="0">
  <x:autoFilter ref="A7:M43"/>
  <x:tableColumns count="13">
    <x:tableColumn id="1" name="C料号"/>
    <x:tableColumn id="2" name="型号"/>
    <x:tableColumn id="3" name="单板用量"/>
    <x:tableColumn id="4" name="装配分工"/>
    <x:tableColumn id="5" name="本批用量"/>
    <x:tableColumn id="6" name="自购备件"/>
    <x:tableColumn id="7" name="散买MOQ"/>
    <x:tableColumn id="8" name="采购倍数"/>
    <x:tableColumn id="9" name="散买数量"/>
    <x:tableColumn id="10" name="目录库存"/>
    <x:tableColumn id="11" name="散买状态"/>
    <x:tableColumn id="12" name="封装"/>
    <x:tableColumn id="13" name="完整位号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endingActions" displayName="PendingActions" ref="A5:D17" headerRowCount="1" totalsRowCount="0" totalsRowShown="0">
  <x:autoFilter ref="A5:D17"/>
  <x:tableColumns count="4">
    <x:tableColumn id="1" name="类别"/>
    <x:tableColumn id="2" name="当前问题"/>
    <x:tableColumn id="3" name="下一步"/>
    <x:tableColumn id="4" name="当前影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e0a7df0d8c41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caf98a483bd48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fdb2d635b042e6" /></Relationships>
</file>

<file path=xl/worksheets/sheet1.xml><?xml version="1.0" encoding="utf-8"?>
<x:worksheet xmlns:x="http://schemas.openxmlformats.org/spreadsheetml/2006/main">
  <x:sheetPr>
    <x:tabColor rgb="FF28445C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6.880000114440918" hidden="0" customWidth="1"/>
    <x:col min="2" max="2" width="21.8799991607666" hidden="0" customWidth="1"/>
    <x:col min="3" max="3" width="41.25" hidden="0" customWidth="1"/>
    <x:col min="4" max="4" width="6.880000114440918" hidden="0" customWidth="1"/>
    <x:col min="5" max="5" width="6.880000114440918" hidden="0" customWidth="1"/>
    <x:col min="6" max="6" width="25" hidden="0" customWidth="1"/>
    <x:col min="7" max="7" width="58.75" hidden="0" customWidth="1"/>
    <x:col min="8" max="8" width="3.130000114440918" hidden="0" customWidth="1"/>
    <x:col min="9" max="9" width="9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双屏乐器硬件采购准备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2" t="str">
        <x:v>一套乐器。217个贴片位号含按键交工厂供料，13个通孔位号手焊；人民币到手价尚未取得。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 t="str">
        <x:v>2026-10-21：覆盖36类板上物料和32项外部范围。当前PCB与大屏尚未放行下单。</x:v>
      </x:c>
      <x:c r="B4" s="2"/>
      <x:c r="C4" s="2"/>
      <x:c r="D4" s="2"/>
      <x:c r="E4" s="2"/>
      <x:c r="F4" s="2"/>
      <x:c r="G4" s="2"/>
      <x:c r="H4" s="2"/>
      <x:c r="I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 ht="30" customHeight="1">
      <x:c r="A6" s="6" t="str">
        <x:v>编号</x:v>
      </x:c>
      <x:c r="B6" s="6" t="str">
        <x:v>项目</x:v>
      </x:c>
      <x:c r="C6" s="6" t="str">
        <x:v>型号或加工规格</x:v>
      </x:c>
      <x:c r="D6" s="6" t="str">
        <x:v>数量</x:v>
      </x:c>
      <x:c r="E6" s="6" t="str">
        <x:v>单位</x:v>
      </x:c>
      <x:c r="F6" s="6" t="str">
        <x:v>当前准备状态</x:v>
      </x:c>
      <x:c r="G6" s="6" t="str">
        <x:v>下单前条件</x:v>
      </x:c>
      <x:c r="H6" s="2"/>
      <x:c r="I6" s="6" t="str">
        <x:v>资料来源（不等于报价）</x:v>
      </x:c>
    </x:row>
    <x:row r="7" ht="72" customHeight="1">
      <x:c r="A7" s="2" t="str">
        <x:v>E01</x:v>
      </x:c>
      <x:c r="B7" s="7" t="str">
        <x:v>Tang Nano20K</x:v>
      </x:c>
      <x:c r="C7" s="7" t="str">
        <x:v>已有主计算板；不另购MCU</x:v>
      </x:c>
      <x:c r="D7" s="8" t="n">
        <x:v>1</x:v>
      </x:c>
      <x:c r="E7" s="2" t="str">
        <x:v>块</x:v>
      </x:c>
      <x:c r="F7" s="7" t="str">
        <x:v>已有，不重复买</x:v>
      </x:c>
      <x:c r="G7" s="7" t="str">
        <x:v>核实实板版号、排针公母、USB下载通道</x:v>
      </x:c>
      <x:c r="H7" s="2"/>
      <x:c r="I7" s="9" t="str">
        <x:v>https://wiki.sipeed.com/hardware/en/tang/tang-nano-20k/nano-20k.html</x:v>
      </x:c>
    </x:row>
    <x:row r="8" ht="72" customHeight="1">
      <x:c r="A8" s="2" t="str">
        <x:v>E02</x:v>
      </x:c>
      <x:c r="B8" s="7" t="str">
        <x:v>4Ω / 3W 喇叭</x:v>
      </x:c>
      <x:c r="C8" s="7" t="str">
        <x:v>只接Nano板载BTL扬声器输出</x:v>
      </x:c>
      <x:c r="D8" s="8" t="n">
        <x:v>1</x:v>
      </x:c>
      <x:c r="E8" s="2" t="str">
        <x:v>只</x:v>
      </x:c>
      <x:c r="F8" s="7" t="str">
        <x:v>已有，不重复买</x:v>
      </x:c>
      <x:c r="G8" s="7" t="str">
        <x:v>核插头与板上座；两端不接AUX或地</x:v>
      </x:c>
      <x:c r="H8" s="2"/>
      <x:c r="I8" s="9" t="str"/>
    </x:row>
    <x:row r="9" ht="72" customHeight="1">
      <x:c r="A9" s="2" t="str">
        <x:v>D01</x:v>
      </x:c>
      <x:c r="B9" s="7" t="str">
        <x:v>LCDWIKI MSP2401</x:v>
      </x:c>
      <x:c r="C9" s="7" t="str">
        <x:v>2.4英寸ILI9341、无触摸、4线SPI；5V VCC、3.3V IO</x:v>
      </x:c>
      <x:c r="D9" s="8" t="n">
        <x:v>1</x:v>
      </x:c>
      <x:c r="E9" s="2" t="str">
        <x:v>套</x:v>
      </x:c>
      <x:c r="F9" s="7" t="str">
        <x:v>采购型号已选，商品版本待核</x:v>
      </x:c>
      <x:c r="G9" s="7" t="str">
        <x:v>确认商品对应厂家MSP2401；J1稳压旁路断开，带排针；按已生成转接表接线</x:v>
      </x:c>
      <x:c r="H9" s="2"/>
      <x:c r="I9" s="9" t="str">
        <x:v>https://www.lcdwiki.com/2.4inch_SPI_Module_ILI9341_SKU:MSP2402</x:v>
      </x:c>
    </x:row>
    <x:row r="10" ht="72" customHeight="1">
      <x:c r="A10" s="2" t="str">
        <x:v>D02</x:v>
      </x:c>
      <x:c r="B10" s="7" t="str">
        <x:v>ER-TFTM070-5V4</x:v>
      </x:c>
      <x:c r="C10" s="7" t="str">
        <x:v>7英寸800×480、RA8875、4线SPI含读回、5V、电容触摸FT5316、内置背光控制</x:v>
      </x:c>
      <x:c r="D10" s="8" t="n">
        <x:v>1</x:v>
      </x:c>
      <x:c r="E10" s="2" t="str">
        <x:v>套</x:v>
      </x:c>
      <x:c r="F10" s="7" t="str">
        <x:v>暂缓，出货配置和整价未闭合</x:v>
      </x:c>
      <x:c r="G10" s="7" t="str">
        <x:v>需供方确认同一SKU的引脚/CTP触点/复位/线缆及人民币含税运价；不买Arduino盾板/字体/额外TF选配</x:v>
      </x:c>
      <x:c r="H10" s="2"/>
      <x:c r="I10" s="9" t="str">
        <x:v>https://www.buydisplay.com/chinese/7-inch-lcd-module-capacitive-touch-screen-panel-i2c-spi-serial</x:v>
      </x:c>
    </x:row>
    <x:row r="11" ht="72" customHeight="1">
      <x:c r="A11" s="2" t="str">
        <x:v>C01</x:v>
      </x:c>
      <x:c r="B11" s="7" t="str">
        <x:v>小屏转接线束</x:v>
      </x:c>
      <x:c r="C11" s="7" t="str">
        <x:v>载板1×12母端→MSP2401模块端；至少8根有效信号，逐线错位映射</x:v>
      </x:c>
      <x:c r="D11" s="8" t="n">
        <x:v>1</x:v>
      </x:c>
      <x:c r="E11" s="2" t="str">
        <x:v>套</x:v>
      </x:c>
      <x:c r="F11" s="7" t="str">
        <x:v>电气接线表已明确，长度待机械</x:v>
      </x:c>
      <x:c r="G11" s="7" t="str">
        <x:v>按“小屏接线”页制作并逐线测通断；按实际模块排针配公母</x:v>
      </x:c>
      <x:c r="H11" s="2"/>
      <x:c r="I11" s="9" t="str"/>
    </x:row>
    <x:row r="12" ht="72" customHeight="1">
      <x:c r="A12" s="2" t="str">
        <x:v>C02</x:v>
      </x:c>
      <x:c r="B12" s="7" t="str">
        <x:v>大屏转接线束</x:v>
      </x:c>
      <x:c r="C12" s="7" t="str">
        <x:v>载板1×12母端→确切大屏接口</x:v>
      </x:c>
      <x:c r="D12" s="8" t="n">
        <x:v>1</x:v>
      </x:c>
      <x:c r="E12" s="2" t="str">
        <x:v>套</x:v>
      </x:c>
      <x:c r="F12" s="7" t="str">
        <x:v>暂缓，厂家针脚未签核</x:v>
      </x:c>
      <x:c r="G12" s="7" t="str">
        <x:v>大屏资料确定后生成，禁止先买所谓通用12针转40针线</x:v>
      </x:c>
      <x:c r="H12" s="2"/>
      <x:c r="I12" s="9" t="str"/>
    </x:row>
    <x:row r="13" ht="72" customHeight="1">
      <x:c r="A13" s="2" t="str">
        <x:v>C03</x:v>
      </x:c>
      <x:c r="B13" s="7" t="str">
        <x:v>Nano短线束</x:v>
      </x:c>
      <x:c r="C13" s="7" t="str">
        <x:v>2组1×20，载板端匹配排母；Nano端按实板排针，保留未用脚NC</x:v>
      </x:c>
      <x:c r="D13" s="8" t="n">
        <x:v>2</x:v>
      </x:c>
      <x:c r="E13" s="2" t="str">
        <x:v>条</x:v>
      </x:c>
      <x:c r="F13" s="7" t="str">
        <x:v>暂缓，实板配对待核</x:v>
      </x:c>
      <x:c r="G13" s="7" t="str">
        <x:v>长度尽可能短并按实际支架量取；不要购买2×10 IDC冒充1×20</x:v>
      </x:c>
      <x:c r="H13" s="2"/>
      <x:c r="I13" s="9" t="str"/>
    </x:row>
    <x:row r="14" ht="72" customHeight="1">
      <x:c r="A14" s="2" t="str">
        <x:v>C04</x:v>
      </x:c>
      <x:c r="B14" s="7" t="str">
        <x:v>电极线束</x:v>
      </x:c>
      <x:c r="C14" s="7" t="str">
        <x:v>6组1×16；载板端母座配PZ254V-11-16P，每组14电极+2地</x:v>
      </x:c>
      <x:c r="D14" s="8" t="n">
        <x:v>6</x:v>
      </x:c>
      <x:c r="E14" s="2" t="str">
        <x:v>条</x:v>
      </x:c>
      <x:c r="F14" s="7" t="str">
        <x:v>板端针距/孔径已核，长度和配对待定</x:v>
      </x:c>
      <x:c r="G14" s="7" t="str">
        <x:v>原厂0.64mm方针、配合长6.1mm；线端须核适配，试样先短线并记录寄生，不冻结统一长线</x:v>
      </x:c>
      <x:c r="H14" s="2"/>
      <x:c r="I14" s="9" t="str"/>
    </x:row>
    <x:row r="15" ht="72" customHeight="1">
      <x:c r="A15" s="2" t="str">
        <x:v>C05</x:v>
      </x:c>
      <x:c r="B15" s="7" t="str">
        <x:v>JST XHP-2 配套电源线</x:v>
      </x:c>
      <x:c r="C15" s="7" t="str">
        <x:v>XH 2.5mm 2P；XHP-2壳体、SXH-001T-P0.6普通型端子、AWG22，绝缘外径0.9–1.9mm</x:v>
      </x:c>
      <x:c r="D15" s="8" t="n">
        <x:v>1</x:v>
      </x:c>
      <x:c r="E15" s="2" t="str">
        <x:v>套</x:v>
      </x:c>
      <x:c r="F15" s="7" t="str">
        <x:v>线端型号已选，成品线供方待核</x:v>
      </x:c>
      <x:c r="G15" s="7" t="str">
        <x:v>优先成品压接线；不是低插入力N型或AWG30–26的002型；按J13.1正5V/J13.2地检验</x:v>
      </x:c>
      <x:c r="H15" s="2"/>
      <x:c r="I15" s="9" t="str">
        <x:v>https://www.jst-mfg.com/product/pdf/eng/eXH.pdf</x:v>
      </x:c>
    </x:row>
    <x:row r="16" ht="72" customHeight="1">
      <x:c r="A16" s="2" t="str">
        <x:v>C06</x:v>
      </x:c>
      <x:c r="B16" s="7" t="str">
        <x:v>JST XHP-2 备用壳体</x:v>
      </x:c>
      <x:c r="C16" s="7" t="str">
        <x:v>同C05，不是2.54mm杜邦壳</x:v>
      </x:c>
      <x:c r="D16" s="8" t="n">
        <x:v>2</x:v>
      </x:c>
      <x:c r="E16" s="2" t="str">
        <x:v>只</x:v>
      </x:c>
      <x:c r="F16" s="7" t="str">
        <x:v>按规格通用件</x:v>
      </x:c>
      <x:c r="G16" s="7" t="str">
        <x:v>为重做极性和维修备份；不计成额外电源线</x:v>
      </x:c>
      <x:c r="H16" s="2"/>
      <x:c r="I16" s="9" t="str">
        <x:v>https://www.jst-mfg.com/product/pdf/eng/eXH.pdf</x:v>
      </x:c>
    </x:row>
    <x:row r="17" ht="72" customHeight="1">
      <x:c r="A17" s="2" t="str">
        <x:v>C07</x:v>
      </x:c>
      <x:c r="B17" s="7" t="str">
        <x:v>JST SXH 配套端子</x:v>
      </x:c>
      <x:c r="C17" s="7" t="str">
        <x:v>SXH-001T-P0.6普通型；AWG22、绝缘外径0.9–1.9mm，配XHP-2</x:v>
      </x:c>
      <x:c r="D17" s="8" t="n">
        <x:v>6</x:v>
      </x:c>
      <x:c r="E17" s="2" t="str">
        <x:v>只</x:v>
      </x:c>
      <x:c r="F17" s="7" t="str">
        <x:v>型号已选，随压接方案购备件</x:v>
      </x:c>
      <x:c r="G17" s="7" t="str">
        <x:v>成品线已含端子时可不单购；无匹配压接工具时不裸买端子</x:v>
      </x:c>
      <x:c r="H17" s="2"/>
      <x:c r="I17" s="9" t="str">
        <x:v>https://www.jst-mfg.com/product/pdf/eng/eXH.pdf</x:v>
      </x:c>
    </x:row>
    <x:row r="18" ht="72" customHeight="1">
      <x:c r="A18" s="2" t="str">
        <x:v>P01</x:v>
      </x:c>
      <x:c r="B18" s="7" t="str">
        <x:v>稳压5V电源</x:v>
      </x:c>
      <x:c r="C18" s="7" t="str">
        <x:v>现有5V3A历史记录；具体铭牌、插头、线长、压降未核实</x:v>
      </x:c>
      <x:c r="D18" s="8" t="n">
        <x:v>1</x:v>
      </x:c>
      <x:c r="E18" s="2" t="str">
        <x:v>套</x:v>
      </x:c>
      <x:c r="F18" s="7" t="str">
        <x:v>先核已有，暂不重复买</x:v>
      </x:c>
      <x:c r="G18" s="7" t="str">
        <x:v>实测双屏启动和压降后定型号；不能因适配器3A就提高板上1.1A附近限流</x:v>
      </x:c>
      <x:c r="H18" s="2"/>
      <x:c r="I18" s="9" t="str"/>
    </x:row>
    <x:row r="19" ht="72" customHeight="1">
      <x:c r="A19" s="2" t="str">
        <x:v>P02</x:v>
      </x:c>
      <x:c r="B19" s="7" t="str">
        <x:v>Nano USB供电/下载线</x:v>
      </x:c>
      <x:c r="C19" s="7" t="str">
        <x:v>匹配Nano实际USB接口，数据线需支持下载</x:v>
      </x:c>
      <x:c r="D19" s="8" t="n">
        <x:v>1</x:v>
      </x:c>
      <x:c r="E19" s="2" t="str">
        <x:v>条</x:v>
      </x:c>
      <x:c r="F19" s="7" t="str">
        <x:v>先核已有</x:v>
      </x:c>
      <x:c r="G19" s="7" t="str">
        <x:v>与载板外部5V保持现有隔离；Nano J5.1 NC</x:v>
      </x:c>
      <x:c r="H19" s="2"/>
      <x:c r="I19" s="9" t="str"/>
    </x:row>
    <x:row r="20" ht="72" customHeight="1">
      <x:c r="A20" s="2" t="str">
        <x:v>A01</x:v>
      </x:c>
      <x:c r="B20" s="7" t="str">
        <x:v>3.5mm立体声TRS面板母座</x:v>
      </x:c>
      <x:c r="C20" s="7" t="str">
        <x:v>焊片式Tip=L、Ring=R、Sleeve=GND；独立绝缘固定</x:v>
      </x:c>
      <x:c r="D20" s="8" t="n">
        <x:v>1</x:v>
      </x:c>
      <x:c r="E20" s="2" t="str">
        <x:v>只</x:v>
      </x:c>
      <x:c r="F20" s="7" t="str">
        <x:v>规格已列，机械型号待定</x:v>
      </x:c>
      <x:c r="G20" s="7" t="str">
        <x:v>当前载板J12是3针接口，不是3.5mm插座封装；插座外形配面板</x:v>
      </x:c>
      <x:c r="H20" s="2"/>
      <x:c r="I20" s="9" t="str"/>
    </x:row>
    <x:row r="21" ht="72" customHeight="1">
      <x:c r="A21" s="2" t="str">
        <x:v>A02</x:v>
      </x:c>
      <x:c r="B21" s="7" t="str">
        <x:v>AUX屏蔽连接线</x:v>
      </x:c>
      <x:c r="C21" s="7" t="str">
        <x:v>J12端1×3母接头到TRS焊片，L/R及屏蔽地</x:v>
      </x:c>
      <x:c r="D21" s="8" t="n">
        <x:v>1</x:v>
      </x:c>
      <x:c r="E21" s="2" t="str">
        <x:v>条</x:v>
      </x:c>
      <x:c r="F21" s="7" t="str">
        <x:v>规格已列，长度待机械</x:v>
      </x:c>
      <x:c r="G21" s="7" t="str">
        <x:v>J12.1=L、.2=R、.3=GND；只接有源输入</x:v>
      </x:c>
      <x:c r="H21" s="2"/>
      <x:c r="I21" s="9" t="str"/>
    </x:row>
    <x:row r="22" ht="72" customHeight="1">
      <x:c r="A22" s="2" t="str">
        <x:v>A03</x:v>
      </x:c>
      <x:c r="B22" s="7" t="str">
        <x:v>3.5mm立体声AUX成品线</x:v>
      </x:c>
      <x:c r="C22" s="7" t="str">
        <x:v>双端TRS公头，接有源音箱/音响</x:v>
      </x:c>
      <x:c r="D22" s="8" t="n">
        <x:v>1</x:v>
      </x:c>
      <x:c r="E22" s="2" t="str">
        <x:v>条</x:v>
      </x:c>
      <x:c r="F22" s="7" t="str">
        <x:v>先核已有</x:v>
      </x:c>
      <x:c r="G22" s="7" t="str">
        <x:v>不把无源喇叭或耳机当线路负载；上电静音完成后连接</x:v>
      </x:c>
      <x:c r="H22" s="2"/>
      <x:c r="I22" s="9" t="str"/>
    </x:row>
    <x:row r="23" ht="72" customHeight="1">
      <x:c r="A23" s="2" t="str">
        <x:v>S01</x:v>
      </x:c>
      <x:c r="B23" s="7" t="str">
        <x:v>microSDHC 32GB C10/U1</x:v>
      </x:c>
      <x:c r="C23" s="7" t="str">
        <x:v>复用Nano板载TF座；FAT32目标</x:v>
      </x:c>
      <x:c r="D23" s="8" t="n">
        <x:v>1</x:v>
      </x:c>
      <x:c r="E23" s="2" t="str">
        <x:v>张</x:v>
      </x:c>
      <x:c r="F23" s="7" t="str">
        <x:v>规格已选，当前在售具体型号待核</x:v>
      </x:c>
      <x:c r="G23" s="7" t="str">
        <x:v>旧Kingston SDCS2/32GB已停产，不作为新购首选；替代卡需SPI初始化/长停顿测试</x:v>
      </x:c>
      <x:c r="H23" s="2"/>
      <x:c r="I23" s="9" t="str">
        <x:v>https://www.kingston.com/en/memory/search/discontinuedmodels?partId=SDCS2%2F32GB</x:v>
      </x:c>
    </x:row>
    <x:row r="24" ht="72" customHeight="1">
      <x:c r="A24" s="2" t="str">
        <x:v>S02</x:v>
      </x:c>
      <x:c r="B24" s="7" t="str">
        <x:v>USB读卡器</x:v>
      </x:c>
      <x:c r="C24" s="7" t="str">
        <x:v>支持microSDHC 32GB</x:v>
      </x:c>
      <x:c r="D24" s="8" t="n">
        <x:v>1</x:v>
      </x:c>
      <x:c r="E24" s="2" t="str">
        <x:v>只</x:v>
      </x:c>
      <x:c r="F24" s="7" t="str">
        <x:v>先核已有</x:v>
      </x:c>
      <x:c r="G24" s="7" t="str">
        <x:v>用于格式化/文件验读；不另购TF座模块</x:v>
      </x:c>
      <x:c r="H24" s="2"/>
      <x:c r="I24" s="9" t="str"/>
    </x:row>
    <x:row r="25" ht="72" customHeight="1">
      <x:c r="A25" s="2" t="str">
        <x:v>T01</x:v>
      </x:c>
      <x:c r="B25" s="7" t="str">
        <x:v>导电背胶铜箔</x:v>
      </x:c>
      <x:c r="C25" s="7" t="str">
        <x:v>20mm宽×2m；用于少量三电极小样，不是最终尺寸板</x:v>
      </x:c>
      <x:c r="D25" s="8" t="n">
        <x:v>1</x:v>
      </x:c>
      <x:c r="E25" s="2" t="str">
        <x:v>卷</x:v>
      </x:c>
      <x:c r="F25" s="7" t="str">
        <x:v>按规格小样材料</x:v>
      </x:c>
      <x:c r="G25" s="7" t="str">
        <x:v>确认背胶导电方式；避免把材料小样当最终完整电极结构</x:v>
      </x:c>
      <x:c r="H25" s="2"/>
      <x:c r="I25" s="9" t="str"/>
    </x:row>
    <x:row r="26" ht="72" customHeight="1">
      <x:c r="A26" s="2" t="str">
        <x:v>T02</x:v>
      </x:c>
      <x:c r="B26" s="7" t="str">
        <x:v>PET覆盖片 0.125mm</x:v>
      </x:c>
      <x:c r="C26" s="7" t="str">
        <x:v>A4或更大、绝缘薄片，记录厚度/胶层</x:v>
      </x:c>
      <x:c r="D26" s="8" t="n">
        <x:v>1</x:v>
      </x:c>
      <x:c r="E26" s="2" t="str">
        <x:v>张</x:v>
      </x:c>
      <x:c r="F26" s="7" t="str">
        <x:v>按规格小样材料</x:v>
      </x:c>
      <x:c r="G26" s="7" t="str">
        <x:v>比较触摸增量、手感和漂移后选择；三种不同时叠加</x:v>
      </x:c>
      <x:c r="H26" s="2"/>
      <x:c r="I26" s="9" t="str"/>
    </x:row>
    <x:row r="27" ht="72" customHeight="1">
      <x:c r="A27" s="2" t="str">
        <x:v>T03</x:v>
      </x:c>
      <x:c r="B27" s="7" t="str">
        <x:v>PET覆盖片 0.25mm</x:v>
      </x:c>
      <x:c r="C27" s="7" t="str">
        <x:v>A4或更大、绝缘薄片，记录厚度/胶层</x:v>
      </x:c>
      <x:c r="D27" s="8" t="n">
        <x:v>1</x:v>
      </x:c>
      <x:c r="E27" s="2" t="str">
        <x:v>张</x:v>
      </x:c>
      <x:c r="F27" s="7" t="str">
        <x:v>按规格小样材料</x:v>
      </x:c>
      <x:c r="G27" s="7" t="str">
        <x:v>比较触摸增量、手感和漂移后选择；三种不同时叠加</x:v>
      </x:c>
      <x:c r="H27" s="2"/>
      <x:c r="I27" s="9" t="str"/>
    </x:row>
    <x:row r="28" ht="72" customHeight="1">
      <x:c r="A28" s="2" t="str">
        <x:v>T04</x:v>
      </x:c>
      <x:c r="B28" s="7" t="str">
        <x:v>PET覆盖片 0.5mm</x:v>
      </x:c>
      <x:c r="C28" s="7" t="str">
        <x:v>A4或更大、绝缘薄片，记录厚度/胶层</x:v>
      </x:c>
      <x:c r="D28" s="8" t="n">
        <x:v>1</x:v>
      </x:c>
      <x:c r="E28" s="2" t="str">
        <x:v>张</x:v>
      </x:c>
      <x:c r="F28" s="7" t="str">
        <x:v>按规格小样材料</x:v>
      </x:c>
      <x:c r="G28" s="7" t="str">
        <x:v>比较触摸增量、手感和漂移后选择；三种不同时叠加</x:v>
      </x:c>
      <x:c r="H28" s="2"/>
      <x:c r="I28" s="9" t="str"/>
    </x:row>
    <x:row r="29" ht="72" customHeight="1">
      <x:c r="A29" s="2" t="str">
        <x:v>T05</x:v>
      </x:c>
      <x:c r="B29" s="7" t="str">
        <x:v>最终三电极面板/PCB</x:v>
      </x:c>
      <x:c r="C29" s="7" t="str">
        <x:v>84通道能力保留；25/26端点均可容纳</x:v>
      </x:c>
      <x:c r="D29" s="8" t="n">
        <x:v>1</x:v>
      </x:c>
      <x:c r="E29" s="2" t="str">
        <x:v>套</x:v>
      </x:c>
      <x:c r="F29" s="7" t="str">
        <x:v>暂缓，几何与材料待标定</x:v>
      </x:c>
      <x:c r="G29" s="7" t="str">
        <x:v>不要按尺寸草案直接加工；按实际节点表和最终覆盖层制作</x:v>
      </x:c>
      <x:c r="H29" s="2"/>
      <x:c r="I29" s="9" t="str"/>
    </x:row>
    <x:row r="30" ht="72" customHeight="1">
      <x:c r="A30" s="2" t="str">
        <x:v>M01</x:v>
      </x:c>
      <x:c r="B30" s="7" t="str">
        <x:v>载板支撑及螺钉</x:v>
      </x:c>
      <x:c r="C30" s="7" t="str">
        <x:v>4个临时安装孔；规格/高度/绝缘距离待装配图</x:v>
      </x:c>
      <x:c r="D30" s="8" t="n">
        <x:v>1</x:v>
      </x:c>
      <x:c r="E30" s="2" t="str">
        <x:v>套</x:v>
      </x:c>
      <x:c r="F30" s="7" t="str">
        <x:v>暂缓，孔位与高度未审签</x:v>
      </x:c>
      <x:c r="G30" s="7" t="str">
        <x:v>不购买固定高度整套金属柱后反向迁就布局</x:v>
      </x:c>
      <x:c r="H30" s="2"/>
      <x:c r="I30" s="9" t="str"/>
    </x:row>
    <x:row r="31" ht="72" customHeight="1">
      <x:c r="A31" s="2" t="str">
        <x:v>M02</x:v>
      </x:c>
      <x:c r="B31" s="7" t="str">
        <x:v>双屏支架/螺钉/间隔柱</x:v>
      </x:c>
      <x:c r="C31" s="7" t="str">
        <x:v>按各模块实际孔位、玻璃边缘、排针高度配套</x:v>
      </x:c>
      <x:c r="D31" s="8" t="n">
        <x:v>2</x:v>
      </x:c>
      <x:c r="E31" s="2" t="str">
        <x:v>套</x:v>
      </x:c>
      <x:c r="F31" s="7" t="str">
        <x:v>暂缓，模块机械图待配准</x:v>
      </x:c>
      <x:c r="G31" s="7" t="str">
        <x:v>小屏MSP2401图可用；大屏出货版图缺失</x:v>
      </x:c>
      <x:c r="H31" s="2"/>
      <x:c r="I31" s="9" t="str"/>
    </x:row>
    <x:row r="32" ht="72" customHeight="1">
      <x:c r="A32" s="2" t="str">
        <x:v>M03</x:v>
      </x:c>
      <x:c r="B32" s="7" t="str">
        <x:v>按压旋钮帽</x:v>
      </x:c>
      <x:c r="C32" s="7" t="str">
        <x:v>匹配EC11E15244B2直径6mm平轴、20mm轴长与实际面板高度</x:v>
      </x:c>
      <x:c r="D32" s="8" t="n">
        <x:v>1</x:v>
      </x:c>
      <x:c r="E32" s="2" t="str">
        <x:v>只</x:v>
      </x:c>
      <x:c r="F32" s="7" t="str">
        <x:v>轴规格已核，帽孔/高度待核</x:v>
      </x:c>
      <x:c r="G32" s="7" t="str">
        <x:v>平轴内孔和按压行程留量须对应；不能按外观选帽</x:v>
      </x:c>
      <x:c r="H32" s="2"/>
      <x:c r="I32" s="9" t="str">
        <x:v>https://tech.alpsalpine.com/e/products/detail/EC11E15244B2/</x:v>
      </x:c>
    </x:row>
    <x:row r="33" ht="72" customHeight="1">
      <x:c r="A33" s="2" t="str">
        <x:v>M04</x:v>
      </x:c>
      <x:c r="B33" s="7" t="str">
        <x:v>外壳/操作面板</x:v>
      </x:c>
      <x:c r="C33" s="7" t="str">
        <x:v>470×220mm为空间提案；厚度/孔位未冻结</x:v>
      </x:c>
      <x:c r="D33" s="8" t="n">
        <x:v>1</x:v>
      </x:c>
      <x:c r="E33" s="2" t="str">
        <x:v>套</x:v>
      </x:c>
      <x:c r="F33" s="7" t="str">
        <x:v>暂缓，不能据草图生产</x:v>
      </x:c>
      <x:c r="G33" s="7" t="str">
        <x:v>先纸样/模块/手姿核对，再生成机械施工图</x:v>
      </x:c>
      <x:c r="H33" s="2"/>
      <x:c r="I33" s="9" t="str"/>
    </x:row>
    <x:row r="34" ht="72" customHeight="1">
      <x:c r="A34" s="2" t="str">
        <x:v>F01</x:v>
      </x:c>
      <x:c r="B34" s="7" t="str">
        <x:v>主载板裸PCB</x:v>
      </x:c>
      <x:c r="C34" s="7" t="str">
        <x:v>当前暂定140×100mm、2层、1oz、1.6mm FR-4</x:v>
      </x:c>
      <x:c r="D34" s="8" t="n">
        <x:v>5</x:v>
      </x:c>
      <x:c r="E34" s="2" t="str">
        <x:v>块</x:v>
      </x:c>
      <x:c r="F34" s="7" t="str">
        <x:v>暂缓，数量为报价假设</x:v>
      </x:c>
      <x:c r="G34" s="7" t="str">
        <x:v>当前74未连通；5板仅询价假设，实际国内工艺/最小量待最终文件确认</x:v>
      </x:c>
      <x:c r="H34" s="2"/>
      <x:c r="I34" s="9" t="str"/>
    </x:row>
    <x:row r="35" ht="72" customHeight="1">
      <x:c r="A35" s="2" t="str">
        <x:v>F02</x:v>
      </x:c>
      <x:c r="B35" s="7" t="str">
        <x:v>选择性SMT装配</x:v>
      </x:c>
      <x:c r="C35" s="7" t="str">
        <x:v>每板217个SMT候选（含5个按键），按实际装配表匹配</x:v>
      </x:c>
      <x:c r="D35" s="8" t="n">
        <x:v>2</x:v>
      </x:c>
      <x:c r="E35" s="2" t="str">
        <x:v>块</x:v>
      </x:c>
      <x:c r="F35" s="7" t="str">
        <x:v>暂缓，数量为报价假设</x:v>
      </x:c>
      <x:c r="G35" s="7" t="str">
        <x:v>按键国内页面有贴片库存，需最终匹配；国际JLC原型MOQ2，国内政策和费用另核</x:v>
      </x:c>
      <x:c r="H35" s="2"/>
      <x:c r="I35" s="9" t="str">
        <x:v>https://jlcpcb.com/solutions/pcb-prototype-assembly</x:v>
      </x:c>
    </x:row>
    <x:row r="36" ht="72" customHeight="1">
      <x:c r="A36" s="2" t="str">
        <x:v>F03</x:v>
      </x:c>
      <x:c r="B36" s="7" t="str">
        <x:v>手焊装配</x:v>
      </x:c>
      <x:c r="C36" s="7" t="str">
        <x:v>每完整载板13个通孔件；5个SMD按键改由工厂贴装</x:v>
      </x:c>
      <x:c r="D36" s="8" t="n">
        <x:v>1</x:v>
      </x:c>
      <x:c r="E36" s="2" t="str">
        <x:v>块</x:v>
      </x:c>
      <x:c r="F36" s="7" t="str">
        <x:v>按用户既有自焊能力安排</x:v>
      </x:c>
      <x:c r="G36" s="7" t="str">
        <x:v>当前只装一套完整乐器；第二块贴片板可留作备份，不自动加购第二套屏幕</x:v>
      </x:c>
      <x:c r="H36" s="2"/>
      <x:c r="I36" s="9" t="str"/>
    </x:row>
    <x:row r="37" ht="72" customHeight="1">
      <x:c r="A37" s="2" t="str">
        <x:v>F04</x:v>
      </x:c>
      <x:c r="B37" s="7" t="str">
        <x:v>钢网/扩展料上料/损耗</x:v>
      </x:c>
      <x:c r="C37" s="7" t="str">
        <x:v>按平台最终装配报价核计</x:v>
      </x:c>
      <x:c r="D37" s="8" t="n">
        <x:v>1</x:v>
      </x:c>
      <x:c r="E37" s="2" t="str">
        <x:v>批</x:v>
      </x:c>
      <x:c r="F37" s="7" t="str">
        <x:v>等待真实匹配报价</x:v>
      </x:c>
      <x:c r="G37" s="7" t="str">
        <x:v>工厂供料的217个位号不要再按散买表重复购买；计入按键上料费</x:v>
      </x:c>
      <x:c r="H37" s="2"/>
      <x:c r="I37" s="9" t="str"/>
    </x:row>
    <x:row r="38" ht="72" customHeight="1">
      <x:c r="A38" s="2" t="str">
        <x:v>F05</x:v>
      </x:c>
      <x:c r="B38" s="7" t="str">
        <x:v>运输/税费/线束加工费</x:v>
      </x:c>
      <x:c r="C38" s="7" t="str">
        <x:v>板、两屏、线束、材料可能不同渠道</x:v>
      </x:c>
      <x:c r="D38" s="8" t="n">
        <x:v>1</x:v>
      </x:c>
      <x:c r="E38" s="2" t="str">
        <x:v>批</x:v>
      </x:c>
      <x:c r="F38" s="7" t="str">
        <x:v>未报价</x:v>
      </x:c>
      <x:c r="G38" s="7" t="str">
        <x:v>不得以器件美元小计或273.22元基础屏价充当整机到手价</x:v>
      </x:c>
      <x:c r="H38" s="2"/>
      <x:c r="I38" s="9" t="str"/>
    </x:row>
  </x:sheetData>
  <x:conditionalFormatting sqref="F7:F38">
    <x:cfRule type="containsText" dxfId="0" priority="1" operator="containsText" text="暂缓"/>
  </x:conditionalFormatting>
  <x:pageMargins left="0.7" right="0.7" top="0.75" bottom="0.75" header="0.3" footer="0.3"/>
  <x:tableParts count="1">
    <x:tablePart xmlns:r="http://schemas.openxmlformats.org/officeDocument/2006/relationships" r:id="Rb2e0a7df0d8c41a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9.3799991607666" hidden="0" customWidth="1"/>
    <x:col min="2" max="2" width="31.25" hidden="0" customWidth="1"/>
    <x:col min="3" max="3" width="10" hidden="0" customWidth="1"/>
    <x:col min="4" max="4" width="15.630000114440918" hidden="0" customWidth="1"/>
    <x:col min="5" max="5" width="10.630000114440918" hidden="0" customWidth="1"/>
    <x:col min="6" max="6" width="10" hidden="0" customWidth="1"/>
    <x:col min="7" max="7" width="10" hidden="0" customWidth="1"/>
    <x:col min="8" max="8" width="10" hidden="0" customWidth="1"/>
    <x:col min="9" max="9" width="10.630000114440918" hidden="0" customWidth="1"/>
    <x:col min="10" max="10" width="12.5" hidden="0" customWidth="1"/>
    <x:col min="11" max="11" width="20.6299991607666" hidden="0" customWidth="1"/>
    <x:col min="12" max="12" width="37.5" hidden="0" customWidth="1"/>
    <x:col min="13" max="13" width="87.5" hidden="0" customWidth="1"/>
    <x:col min="14" max="14" width="3.130000114440918" hidden="0" customWidth="1"/>
    <x:col min="15" max="15" width="81.25" hidden="0" customWidth="1"/>
    <x:col min="16" max="16" width="28.7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 s="3" t="str">
        <x:v>板上物料与供料分工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2" t="str">
        <x:v>SMT板数（报价假设）</x:v>
      </x:c>
      <x:c r="B3" s="11" t="n">
        <x:v>2</x:v>
      </x:c>
      <x:c r="C3" s="2"/>
      <x:c r="D3" s="2" t="str">
        <x:v>每板全部位号</x:v>
      </x:c>
      <x:c r="E3" s="2" t="n">
        <x:f>SUM(C8:C43)</x:f>
        <x:v>230</x:v>
      </x:c>
      <x:c r="F3" s="2"/>
      <x:c r="G3" s="2" t="str">
        <x:v>黄色为可修改的装配数量。第二块SMT板作备份，不自动增加第二套屏幕。</x:v>
      </x:c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 t="str">
        <x:v>补焊接口板数</x:v>
      </x:c>
      <x:c r="B4" s="11" t="n">
        <x:v>1</x:v>
      </x:c>
      <x:c r="C4" s="2"/>
      <x:c r="D4" s="2" t="str">
        <x:v>每板SMT位号</x:v>
      </x:c>
      <x:c r="E4" s="2" t="n">
        <x:f>SUMIFS(C8:C43,D8:D43,"工厂SMT供料")</x:f>
        <x:v>217</x:v>
      </x:c>
      <x:c r="F4" s="2"/>
      <x:c r="G4" s="2" t="str">
        <x:v>本批用量按实际工厂/手焊分工计算。SMT行散买量为0，避免重复买料。</x:v>
      </x:c>
      <x:c r="H4" s="2"/>
      <x:c r="I4" s="2"/>
      <x:c r="J4" s="2"/>
      <x:c r="K4" s="2"/>
      <x:c r="L4" s="2"/>
      <x:c r="M4" s="2"/>
      <x:c r="N4" s="2"/>
      <x:c r="O4" s="2"/>
      <x:c r="P4" s="2"/>
    </x:row>
    <x:row r="5">
      <x:c r="A5" s="2"/>
      <x:c r="B5" s="2"/>
      <x:c r="C5" s="2"/>
      <x:c r="D5" s="2" t="str">
        <x:v>每板手焊位号</x:v>
      </x:c>
      <x:c r="E5" s="2" t="n">
        <x:f>E3-E4</x:f>
        <x:v>13</x:v>
      </x:c>
      <x:c r="F5" s="2"/>
      <x:c r="G5" s="2" t="str">
        <x:v>库存为公开LCSC目录快照，不能证明国内SMT库存。没有填入伪整机总价。</x:v>
      </x:c>
      <x:c r="H5" s="2"/>
      <x:c r="I5" s="2"/>
      <x:c r="J5" s="2"/>
      <x:c r="K5" s="2"/>
      <x:c r="L5" s="2"/>
      <x:c r="M5" s="2"/>
      <x:c r="N5" s="2"/>
      <x:c r="O5" s="2"/>
      <x:c r="P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30" customHeight="1">
      <x:c r="A7" s="6" t="str">
        <x:v>C料号</x:v>
      </x:c>
      <x:c r="B7" s="6" t="str">
        <x:v>型号</x:v>
      </x:c>
      <x:c r="C7" s="6" t="str">
        <x:v>单板用量</x:v>
      </x:c>
      <x:c r="D7" s="6" t="str">
        <x:v>装配分工</x:v>
      </x:c>
      <x:c r="E7" s="6" t="str">
        <x:v>本批用量</x:v>
      </x:c>
      <x:c r="F7" s="6" t="str">
        <x:v>自购备件</x:v>
      </x:c>
      <x:c r="G7" s="6" t="str">
        <x:v>散买MOQ</x:v>
      </x:c>
      <x:c r="H7" s="6" t="str">
        <x:v>采购倍数</x:v>
      </x:c>
      <x:c r="I7" s="6" t="str">
        <x:v>散买数量</x:v>
      </x:c>
      <x:c r="J7" s="6" t="str">
        <x:v>目录库存</x:v>
      </x:c>
      <x:c r="K7" s="6" t="str">
        <x:v>散买状态</x:v>
      </x:c>
      <x:c r="L7" s="6" t="str">
        <x:v>封装</x:v>
      </x:c>
      <x:c r="M7" s="6" t="str">
        <x:v>完整位号</x:v>
      </x:c>
      <x:c r="N7" s="2"/>
      <x:c r="O7" s="6" t="str">
        <x:v>购买来源</x:v>
      </x:c>
      <x:c r="P7" s="6" t="str">
        <x:v>核查UTC时间</x:v>
      </x:c>
    </x:row>
    <x:row r="8" ht="44" customHeight="1">
      <x:c r="A8" s="2" t="str">
        <x:v>C105579</x:v>
      </x:c>
      <x:c r="B8" s="7" t="str">
        <x:v>RC0603FR-0747KL</x:v>
      </x:c>
      <x:c r="C8" s="8" t="n">
        <x:v>6</x:v>
      </x:c>
      <x:c r="D8" s="2" t="str">
        <x:v>工厂SMT供料</x:v>
      </x:c>
      <x:c r="E8" s="13" t="n">
        <x:f>C8*IF(D8="工厂SMT供料",$B$3,$B$4)</x:f>
        <x:v>12</x:v>
      </x:c>
      <x:c r="F8" s="13" t="n">
        <x:v>0</x:v>
      </x:c>
      <x:c r="G8" s="13" t="n">
        <x:v>100</x:v>
      </x:c>
      <x:c r="H8" s="13" t="n">
        <x:v>100</x:v>
      </x:c>
      <x:c r="I8" s="13" t="n">
        <x:f>IF(D8="工厂SMT供料",0,CEILING(MAX(E8+F8,G8),H8))</x:f>
        <x:v>0</x:v>
      </x:c>
      <x:c r="J8" s="13" t="n">
        <x:v>21300</x:v>
      </x:c>
      <x:c r="K8" s="2" t="str">
        <x:f>IF(I8=0,"工厂匹配供料",IF(J8&gt;=I8,"目录数量足够","散买缺货"))</x:f>
        <x:v>工厂匹配供料</x:v>
      </x:c>
      <x:c r="L8" s="7" t="str">
        <x:v>R0603</x:v>
      </x:c>
      <x:c r="M8" s="7" t="str">
        <x:v>R1,R2,R3,R4,R5,R6</x:v>
      </x:c>
      <x:c r="N8" s="2"/>
      <x:c r="O8" s="2" t="str">
        <x:v>https://www.lcsc.com/product-detail/C105579.html</x:v>
      </x:c>
      <x:c r="P8" s="12" t="d">
        <x:v>2026-10-20T20:00:00.106Z</x:v>
      </x:c>
    </x:row>
    <x:row r="9" ht="44" customHeight="1">
      <x:c r="A9" s="2" t="str">
        <x:v>C106794</x:v>
      </x:c>
      <x:c r="B9" s="7" t="str">
        <x:v>TPD4E02B04DQAR</x:v>
      </x:c>
      <x:c r="C9" s="8" t="n">
        <x:v>24</x:v>
      </x:c>
      <x:c r="D9" s="2" t="str">
        <x:v>工厂SMT供料</x:v>
      </x:c>
      <x:c r="E9" s="13" t="n">
        <x:f>C9*IF(D9="工厂SMT供料",$B$3,$B$4)</x:f>
        <x:v>48</x:v>
      </x:c>
      <x:c r="F9" s="13" t="n">
        <x:v>0</x:v>
      </x:c>
      <x:c r="G9" s="13" t="n">
        <x:v>5</x:v>
      </x:c>
      <x:c r="H9" s="13" t="n">
        <x:v>5</x:v>
      </x:c>
      <x:c r="I9" s="13" t="n">
        <x:f>IF(D9="工厂SMT供料",0,CEILING(MAX(E9+F9,G9),H9))</x:f>
        <x:v>0</x:v>
      </x:c>
      <x:c r="J9" s="13" t="n">
        <x:v>26175</x:v>
      </x:c>
      <x:c r="K9" s="2" t="str">
        <x:f>IF(I9=0,"工厂匹配供料",IF(J9&gt;=I9,"目录数量足够","散买缺货"))</x:f>
        <x:v>工厂匹配供料</x:v>
      </x:c>
      <x:c r="L9" s="7" t="str">
        <x:v>USON-10_L2.5-W1.0-P0.50-BL</x:v>
      </x:c>
      <x:c r="M9" s="7" t="str">
        <x:v>D1,D2,D3,D4,D5,D6,D7,D8,D9,D10,D11,D12,D13,D14,D15,D16,D17,D18,D19,D20,D21,D22,D23,D24</x:v>
      </x:c>
      <x:c r="N9" s="2"/>
      <x:c r="O9" s="2" t="str">
        <x:v>https://www.lcsc.com/product-detail/C106794.html</x:v>
      </x:c>
      <x:c r="P9" s="12" t="d">
        <x:v>2026-10-20T20:00:00.107Z</x:v>
      </x:c>
    </x:row>
    <x:row r="10" ht="44" customHeight="1">
      <x:c r="A10" s="2" t="str">
        <x:v>C110499</x:v>
      </x:c>
      <x:c r="B10" s="7" t="str">
        <x:v>DMP2035U-7</x:v>
      </x:c>
      <x:c r="C10" s="8" t="n">
        <x:v>1</x:v>
      </x:c>
      <x:c r="D10" s="2" t="str">
        <x:v>工厂SMT供料</x:v>
      </x:c>
      <x:c r="E10" s="13" t="n">
        <x:f>C10*IF(D10="工厂SMT供料",$B$3,$B$4)</x:f>
        <x:v>2</x:v>
      </x:c>
      <x:c r="F10" s="13" t="n">
        <x:v>0</x:v>
      </x:c>
      <x:c r="G10" s="13" t="n">
        <x:v>5</x:v>
      </x:c>
      <x:c r="H10" s="13" t="n">
        <x:v>5</x:v>
      </x:c>
      <x:c r="I10" s="13" t="n">
        <x:f>IF(D10="工厂SMT供料",0,CEILING(MAX(E10+F10,G10),H10))</x:f>
        <x:v>0</x:v>
      </x:c>
      <x:c r="J10" s="13" t="n">
        <x:v>97010</x:v>
      </x:c>
      <x:c r="K10" s="2" t="str">
        <x:f>IF(I10=0,"工厂匹配供料",IF(J10&gt;=I10,"目录数量足够","散买缺货"))</x:f>
        <x:v>工厂匹配供料</x:v>
      </x:c>
      <x:c r="L10" s="7" t="str">
        <x:v>SOT-23-3_L2.9-W1.6-P1.90-LS2.8-BR</x:v>
      </x:c>
      <x:c r="M10" s="7" t="str">
        <x:v>Q1</x:v>
      </x:c>
      <x:c r="N10" s="2"/>
      <x:c r="O10" s="2" t="str">
        <x:v>https://www.lcsc.com/product-detail/C110499.html</x:v>
      </x:c>
      <x:c r="P10" s="12" t="d">
        <x:v>2026-10-20T20:00:00.108Z</x:v>
      </x:c>
    </x:row>
    <x:row r="11" ht="44" customHeight="1">
      <x:c r="A11" s="2" t="str">
        <x:v>C133541</x:v>
      </x:c>
      <x:c r="B11" s="7" t="str">
        <x:v>SN74LVC14ADR</x:v>
      </x:c>
      <x:c r="C11" s="8" t="n">
        <x:v>1</x:v>
      </x:c>
      <x:c r="D11" s="2" t="str">
        <x:v>工厂SMT供料</x:v>
      </x:c>
      <x:c r="E11" s="13" t="n">
        <x:f>C11*IF(D11="工厂SMT供料",$B$3,$B$4)</x:f>
        <x:v>2</x:v>
      </x:c>
      <x:c r="F11" s="13" t="n">
        <x:v>0</x:v>
      </x:c>
      <x:c r="G11" s="13" t="n">
        <x:v>5</x:v>
      </x:c>
      <x:c r="H11" s="13" t="n">
        <x:v>5</x:v>
      </x:c>
      <x:c r="I11" s="13" t="n">
        <x:f>IF(D11="工厂SMT供料",0,CEILING(MAX(E11+F11,G11),H11))</x:f>
        <x:v>0</x:v>
      </x:c>
      <x:c r="J11" s="13" t="n">
        <x:v>32345</x:v>
      </x:c>
      <x:c r="K11" s="2" t="str">
        <x:f>IF(I11=0,"工厂匹配供料",IF(J11&gt;=I11,"目录数量足够","散买缺货"))</x:f>
        <x:v>工厂匹配供料</x:v>
      </x:c>
      <x:c r="L11" s="7" t="str">
        <x:v>SOIC-14_L8.7-W3.9-P1.27-LS6.0-BL</x:v>
      </x:c>
      <x:c r="M11" s="7" t="str">
        <x:v>U7</x:v>
      </x:c>
      <x:c r="N11" s="2"/>
      <x:c r="O11" s="2" t="str">
        <x:v>https://www.lcsc.com/product-detail/C133541.html</x:v>
      </x:c>
      <x:c r="P11" s="12" t="d">
        <x:v>2026-10-20T20:00:00.873Z</x:v>
      </x:c>
    </x:row>
    <x:row r="12" ht="44" customHeight="1">
      <x:c r="A12" s="2" t="str">
        <x:v>C14858</x:v>
      </x:c>
      <x:c r="B12" s="7" t="str">
        <x:v>CL10C101JB8NNNC</x:v>
      </x:c>
      <x:c r="C12" s="8" t="n">
        <x:v>8</x:v>
      </x:c>
      <x:c r="D12" s="2" t="str">
        <x:v>工厂SMT供料</x:v>
      </x:c>
      <x:c r="E12" s="13" t="n">
        <x:f>C12*IF(D12="工厂SMT供料",$B$3,$B$4)</x:f>
        <x:v>16</x:v>
      </x:c>
      <x:c r="F12" s="13" t="n">
        <x:v>0</x:v>
      </x:c>
      <x:c r="G12" s="13" t="n">
        <x:v>50</x:v>
      </x:c>
      <x:c r="H12" s="13" t="n">
        <x:v>50</x:v>
      </x:c>
      <x:c r="I12" s="13" t="n">
        <x:f>IF(D12="工厂SMT供料",0,CEILING(MAX(E12+F12,G12),H12))</x:f>
        <x:v>0</x:v>
      </x:c>
      <x:c r="J12" s="13" t="n">
        <x:v>692700</x:v>
      </x:c>
      <x:c r="K12" s="2" t="str">
        <x:f>IF(I12=0,"工厂匹配供料",IF(J12&gt;=I12,"目录数量足够","散买缺货"))</x:f>
        <x:v>工厂匹配供料</x:v>
      </x:c>
      <x:c r="L12" s="7" t="str">
        <x:v>C0603</x:v>
      </x:c>
      <x:c r="M12" s="7" t="str">
        <x:v>C27,C28,C101,C103,C105,C107,C109,C111</x:v>
      </x:c>
      <x:c r="N12" s="2"/>
      <x:c r="O12" s="2" t="str">
        <x:v>https://www.lcsc.com/product-detail/C14858.html</x:v>
      </x:c>
      <x:c r="P12" s="12" t="d">
        <x:v>2026-10-20T20:00:01.032Z</x:v>
      </x:c>
    </x:row>
    <x:row r="13" ht="44" customHeight="1">
      <x:c r="A13" s="2" t="str">
        <x:v>C158012</x:v>
      </x:c>
      <x:c r="B13" s="7" t="str">
        <x:v>B2B-XH-A(LF)(SN)</x:v>
      </x:c>
      <x:c r="C13" s="8" t="n">
        <x:v>1</x:v>
      </x:c>
      <x:c r="D13" s="2" t="str">
        <x:v>手焊通孔</x:v>
      </x:c>
      <x:c r="E13" s="13" t="n">
        <x:f>C13*IF(D13="工厂SMT供料",$B$3,$B$4)</x:f>
        <x:v>1</x:v>
      </x:c>
      <x:c r="F13" s="13" t="n">
        <x:v>1</x:v>
      </x:c>
      <x:c r="G13" s="13" t="n">
        <x:v>20</x:v>
      </x:c>
      <x:c r="H13" s="13" t="n">
        <x:v>20</x:v>
      </x:c>
      <x:c r="I13" s="13" t="n">
        <x:f>IF(D13="工厂SMT供料",0,CEILING(MAX(E13+F13,G13),H13))</x:f>
        <x:v>20</x:v>
      </x:c>
      <x:c r="J13" s="13" t="n">
        <x:v>433800</x:v>
      </x:c>
      <x:c r="K13" s="2" t="str">
        <x:f>IF(I13=0,"工厂匹配供料",IF(J13&gt;=I13,"目录数量足够","散买缺货"))</x:f>
        <x:v>目录数量足够</x:v>
      </x:c>
      <x:c r="L13" s="7" t="str">
        <x:v>CONN-TH_B2B-XH-A-LF-SN</x:v>
      </x:c>
      <x:c r="M13" s="7" t="str">
        <x:v>J13</x:v>
      </x:c>
      <x:c r="N13" s="2"/>
      <x:c r="O13" s="2" t="str">
        <x:v>https://www.lcsc.com/product-detail/C158012.html</x:v>
      </x:c>
      <x:c r="P13" s="12" t="d">
        <x:v>2026-10-20T20:00:01.129Z</x:v>
      </x:c>
    </x:row>
    <x:row r="14" ht="44" customHeight="1">
      <x:c r="A14" s="2" t="str">
        <x:v>C1591</x:v>
      </x:c>
      <x:c r="B14" s="7" t="str">
        <x:v>CL10B104KB8NNNC</x:v>
      </x:c>
      <x:c r="C14" s="8" t="n">
        <x:v>19</x:v>
      </x:c>
      <x:c r="D14" s="2" t="str">
        <x:v>工厂SMT供料</x:v>
      </x:c>
      <x:c r="E14" s="13" t="n">
        <x:f>C14*IF(D14="工厂SMT供料",$B$3,$B$4)</x:f>
        <x:v>38</x:v>
      </x:c>
      <x:c r="F14" s="13" t="n">
        <x:v>0</x:v>
      </x:c>
      <x:c r="G14" s="13" t="n">
        <x:v>100</x:v>
      </x:c>
      <x:c r="H14" s="13" t="n">
        <x:v>100</x:v>
      </x:c>
      <x:c r="I14" s="13" t="n">
        <x:f>IF(D14="工厂SMT供料",0,CEILING(MAX(E14+F14,G14),H14))</x:f>
        <x:v>0</x:v>
      </x:c>
      <x:c r="J14" s="13" t="n">
        <x:v>2013600</x:v>
      </x:c>
      <x:c r="K14" s="2" t="str">
        <x:f>IF(I14=0,"工厂匹配供料",IF(J14&gt;=I14,"目录数量足够","散买缺货"))</x:f>
        <x:v>工厂匹配供料</x:v>
      </x:c>
      <x:c r="L14" s="7" t="str">
        <x:v>C0603</x:v>
      </x:c>
      <x:c r="M14" s="7" t="str">
        <x:v>C7,C8,C9,C10,C11,C22,C23,C24,C25,C1,C2,C3,C4,C5,C6,C33,C34,C35,C36</x:v>
      </x:c>
      <x:c r="N14" s="2"/>
      <x:c r="O14" s="2" t="str">
        <x:v>https://www.lcsc.com/product-detail/C1591.html</x:v>
      </x:c>
      <x:c r="P14" s="12" t="d">
        <x:v>2026-10-20T20:00:01.544Z</x:v>
      </x:c>
    </x:row>
    <x:row r="15" ht="44" customHeight="1">
      <x:c r="A15" s="2" t="str">
        <x:v>C1592</x:v>
      </x:c>
      <x:c r="B15" s="7" t="str">
        <x:v>CL10A105KO8NNNC</x:v>
      </x:c>
      <x:c r="C15" s="8" t="n">
        <x:v>1</x:v>
      </x:c>
      <x:c r="D15" s="2" t="str">
        <x:v>工厂SMT供料</x:v>
      </x:c>
      <x:c r="E15" s="13" t="n">
        <x:f>C15*IF(D15="工厂SMT供料",$B$3,$B$4)</x:f>
        <x:v>2</x:v>
      </x:c>
      <x:c r="F15" s="13" t="n">
        <x:v>0</x:v>
      </x:c>
      <x:c r="G15" s="13" t="n">
        <x:v>50</x:v>
      </x:c>
      <x:c r="H15" s="13" t="n">
        <x:v>50</x:v>
      </x:c>
      <x:c r="I15" s="13" t="n">
        <x:f>IF(D15="工厂SMT供料",0,CEILING(MAX(E15+F15,G15),H15))</x:f>
        <x:v>0</x:v>
      </x:c>
      <x:c r="J15" s="13" t="n">
        <x:v>2158650</x:v>
      </x:c>
      <x:c r="K15" s="2" t="str">
        <x:f>IF(I15=0,"工厂匹配供料",IF(J15&gt;=I15,"目录数量足够","散买缺货"))</x:f>
        <x:v>工厂匹配供料</x:v>
      </x:c>
      <x:c r="L15" s="7" t="str">
        <x:v>C0603</x:v>
      </x:c>
      <x:c r="M15" s="7" t="str">
        <x:v>C32</x:v>
      </x:c>
      <x:c r="N15" s="2"/>
      <x:c r="O15" s="2" t="str">
        <x:v>https://www.lcsc.com/product-detail/C1592.html</x:v>
      </x:c>
      <x:c r="P15" s="12" t="d">
        <x:v>2026-10-20T20:00:01.913Z</x:v>
      </x:c>
    </x:row>
    <x:row r="16" ht="44" customHeight="1">
      <x:c r="A16" s="2" t="str">
        <x:v>C1607</x:v>
      </x:c>
      <x:c r="B16" s="7" t="str">
        <x:v>CL10A225KP8NNNC</x:v>
      </x:c>
      <x:c r="C16" s="8" t="n">
        <x:v>8</x:v>
      </x:c>
      <x:c r="D16" s="2" t="str">
        <x:v>工厂SMT供料</x:v>
      </x:c>
      <x:c r="E16" s="13" t="n">
        <x:f>C16*IF(D16="工厂SMT供料",$B$3,$B$4)</x:f>
        <x:v>16</x:v>
      </x:c>
      <x:c r="F16" s="13" t="n">
        <x:v>0</x:v>
      </x:c>
      <x:c r="G16" s="13" t="n">
        <x:v>20</x:v>
      </x:c>
      <x:c r="H16" s="13" t="n">
        <x:v>20</x:v>
      </x:c>
      <x:c r="I16" s="13" t="n">
        <x:f>IF(D16="工厂SMT供料",0,CEILING(MAX(E16+F16,G16),H16))</x:f>
        <x:v>0</x:v>
      </x:c>
      <x:c r="J16" s="13" t="n">
        <x:v>137760</x:v>
      </x:c>
      <x:c r="K16" s="2" t="str">
        <x:f>IF(I16=0,"工厂匹配供料",IF(J16&gt;=I16,"目录数量足够","散买缺货"))</x:f>
        <x:v>工厂匹配供料</x:v>
      </x:c>
      <x:c r="L16" s="7" t="str">
        <x:v>C0603</x:v>
      </x:c>
      <x:c r="M16" s="7" t="str">
        <x:v>C20,C21,C26,C30,C31,C37,C38,C39</x:v>
      </x:c>
      <x:c r="N16" s="2"/>
      <x:c r="O16" s="2" t="str">
        <x:v>https://www.lcsc.com/product-detail/C1607.html</x:v>
      </x:c>
      <x:c r="P16" s="12" t="d">
        <x:v>2026-10-20T20:00:01.947Z</x:v>
      </x:c>
    </x:row>
    <x:row r="17" ht="44" customHeight="1">
      <x:c r="A17" s="2" t="str">
        <x:v>C1634</x:v>
      </x:c>
      <x:c r="B17" s="7" t="str">
        <x:v>CL10C100JB8NNNC</x:v>
      </x:c>
      <x:c r="C17" s="8" t="n">
        <x:v>6</x:v>
      </x:c>
      <x:c r="D17" s="2" t="str">
        <x:v>工厂SMT供料</x:v>
      </x:c>
      <x:c r="E17" s="13" t="n">
        <x:f>C17*IF(D17="工厂SMT供料",$B$3,$B$4)</x:f>
        <x:v>12</x:v>
      </x:c>
      <x:c r="F17" s="13" t="n">
        <x:v>0</x:v>
      </x:c>
      <x:c r="G17" s="13" t="n">
        <x:v>100</x:v>
      </x:c>
      <x:c r="H17" s="13" t="n">
        <x:v>100</x:v>
      </x:c>
      <x:c r="I17" s="13" t="n">
        <x:f>IF(D17="工厂SMT供料",0,CEILING(MAX(E17+F17,G17),H17))</x:f>
        <x:v>0</x:v>
      </x:c>
      <x:c r="J17" s="13" t="n">
        <x:v>89300</x:v>
      </x:c>
      <x:c r="K17" s="2" t="str">
        <x:f>IF(I17=0,"工厂匹配供料",IF(J17&gt;=I17,"目录数量足够","散买缺货"))</x:f>
        <x:v>工厂匹配供料</x:v>
      </x:c>
      <x:c r="L17" s="7" t="str">
        <x:v>C0603</x:v>
      </x:c>
      <x:c r="M17" s="7" t="str">
        <x:v>C100,C102,C104,C106,C108,C110</x:v>
      </x:c>
      <x:c r="N17" s="2"/>
      <x:c r="O17" s="2" t="str">
        <x:v>https://www.lcsc.com/product-detail/C1634.html</x:v>
      </x:c>
      <x:c r="P17" s="12" t="d">
        <x:v>2026-10-20T20:00:02.317Z</x:v>
      </x:c>
    </x:row>
    <x:row r="18" ht="44" customHeight="1">
      <x:c r="A18" s="2" t="str">
        <x:v>C179326</x:v>
      </x:c>
      <x:c r="B18" s="7" t="str">
        <x:v>74HC4067PW,118</x:v>
      </x:c>
      <x:c r="C18" s="8" t="n">
        <x:v>6</x:v>
      </x:c>
      <x:c r="D18" s="2" t="str">
        <x:v>工厂SMT供料</x:v>
      </x:c>
      <x:c r="E18" s="13" t="n">
        <x:f>C18*IF(D18="工厂SMT供料",$B$3,$B$4)</x:f>
        <x:v>12</x:v>
      </x:c>
      <x:c r="F18" s="13" t="n">
        <x:v>0</x:v>
      </x:c>
      <x:c r="G18" s="13" t="n">
        <x:v>1</x:v>
      </x:c>
      <x:c r="H18" s="13" t="n">
        <x:v>1</x:v>
      </x:c>
      <x:c r="I18" s="13" t="n">
        <x:f>IF(D18="工厂SMT供料",0,CEILING(MAX(E18+F18,G18),H18))</x:f>
        <x:v>0</x:v>
      </x:c>
      <x:c r="J18" s="13" t="n">
        <x:v>13484</x:v>
      </x:c>
      <x:c r="K18" s="2" t="str">
        <x:f>IF(I18=0,"工厂匹配供料",IF(J18&gt;=I18,"目录数量足够","散买缺货"))</x:f>
        <x:v>工厂匹配供料</x:v>
      </x:c>
      <x:c r="L18" s="7" t="str">
        <x:v>TSSOP-24_L7.8-W4.4-P0.65-LS6.4-BL</x:v>
      </x:c>
      <x:c r="M18" s="7" t="str">
        <x:v>U1,U2,U3,U4,U5,U6</x:v>
      </x:c>
      <x:c r="N18" s="2"/>
      <x:c r="O18" s="2" t="str">
        <x:v>https://www.lcsc.com/product-detail/C179326.html</x:v>
      </x:c>
      <x:c r="P18" s="12" t="d">
        <x:v>2026-10-20T20:00:02.690Z</x:v>
      </x:c>
    </x:row>
    <x:row r="19" ht="44" customHeight="1">
      <x:c r="A19" s="2" t="str">
        <x:v>C205940</x:v>
      </x:c>
      <x:c r="B19" s="7" t="str">
        <x:v>SN74LV595ADR</x:v>
      </x:c>
      <x:c r="C19" s="8" t="n">
        <x:v>1</x:v>
      </x:c>
      <x:c r="D19" s="2" t="str">
        <x:v>工厂SMT供料</x:v>
      </x:c>
      <x:c r="E19" s="13" t="n">
        <x:f>C19*IF(D19="工厂SMT供料",$B$3,$B$4)</x:f>
        <x:v>2</x:v>
      </x:c>
      <x:c r="F19" s="13" t="n">
        <x:v>0</x:v>
      </x:c>
      <x:c r="G19" s="13" t="n">
        <x:v>1</x:v>
      </x:c>
      <x:c r="H19" s="13" t="n">
        <x:v>1</x:v>
      </x:c>
      <x:c r="I19" s="13" t="n">
        <x:f>IF(D19="工厂SMT供料",0,CEILING(MAX(E19+F19,G19),H19))</x:f>
        <x:v>0</x:v>
      </x:c>
      <x:c r="J19" s="13" t="n">
        <x:v>1312</x:v>
      </x:c>
      <x:c r="K19" s="2" t="str">
        <x:f>IF(I19=0,"工厂匹配供料",IF(J19&gt;=I19,"目录数量足够","散买缺货"))</x:f>
        <x:v>工厂匹配供料</x:v>
      </x:c>
      <x:c r="L19" s="7" t="str">
        <x:v>SOIC-16_L9.9-W3.9-P1.27-LS6.0-BL</x:v>
      </x:c>
      <x:c r="M19" s="7" t="str">
        <x:v>U8</x:v>
      </x:c>
      <x:c r="N19" s="2"/>
      <x:c r="O19" s="2" t="str">
        <x:v>https://www.lcsc.com/product-detail/C205940.html</x:v>
      </x:c>
      <x:c r="P19" s="12" t="d">
        <x:v>2026-10-20T20:00:02.745Z</x:v>
      </x:c>
    </x:row>
    <x:row r="20" ht="44" customHeight="1">
      <x:c r="A20" s="2" t="str">
        <x:v>C210834</x:v>
      </x:c>
      <x:c r="B20" s="7" t="str">
        <x:v>MF-MSMF110/16-2</x:v>
      </x:c>
      <x:c r="C20" s="8" t="n">
        <x:v>1</x:v>
      </x:c>
      <x:c r="D20" s="2" t="str">
        <x:v>工厂SMT供料</x:v>
      </x:c>
      <x:c r="E20" s="13" t="n">
        <x:f>C20*IF(D20="工厂SMT供料",$B$3,$B$4)</x:f>
        <x:v>2</x:v>
      </x:c>
      <x:c r="F20" s="13" t="n">
        <x:v>0</x:v>
      </x:c>
      <x:c r="G20" s="13" t="n">
        <x:v>10</x:v>
      </x:c>
      <x:c r="H20" s="13" t="n">
        <x:v>10</x:v>
      </x:c>
      <x:c r="I20" s="13" t="n">
        <x:f>IF(D20="工厂SMT供料",0,CEILING(MAX(E20+F20,G20),H20))</x:f>
        <x:v>0</x:v>
      </x:c>
      <x:c r="J20" s="13" t="n">
        <x:v>9290</x:v>
      </x:c>
      <x:c r="K20" s="2" t="str">
        <x:f>IF(I20=0,"工厂匹配供料",IF(J20&gt;=I20,"目录数量足够","散买缺货"))</x:f>
        <x:v>工厂匹配供料</x:v>
      </x:c>
      <x:c r="L20" s="7" t="str">
        <x:v>F1812</x:v>
      </x:c>
      <x:c r="M20" s="7" t="str">
        <x:v>F1</x:v>
      </x:c>
      <x:c r="N20" s="2"/>
      <x:c r="O20" s="2" t="str">
        <x:v>https://www.lcsc.com/product-detail/C210834.html</x:v>
      </x:c>
      <x:c r="P20" s="12" t="d">
        <x:v>2026-10-20T20:00:03.053Z</x:v>
      </x:c>
    </x:row>
    <x:row r="21" ht="44" customHeight="1">
      <x:c r="A21" s="2" t="str">
        <x:v>C22465876</x:v>
      </x:c>
      <x:c r="B21" s="7" t="str">
        <x:v>PZ254V-11-16P</x:v>
      </x:c>
      <x:c r="C21" s="8" t="n">
        <x:v>6</x:v>
      </x:c>
      <x:c r="D21" s="2" t="str">
        <x:v>手焊通孔</x:v>
      </x:c>
      <x:c r="E21" s="13" t="n">
        <x:f>C21*IF(D21="工厂SMT供料",$B$3,$B$4)</x:f>
        <x:v>6</x:v>
      </x:c>
      <x:c r="F21" s="13" t="n">
        <x:v>1</x:v>
      </x:c>
      <x:c r="G21" s="13" t="n">
        <x:v>5</x:v>
      </x:c>
      <x:c r="H21" s="13" t="n">
        <x:v>5</x:v>
      </x:c>
      <x:c r="I21" s="13" t="n">
        <x:f>IF(D21="工厂SMT供料",0,CEILING(MAX(E21+F21,G21),H21))</x:f>
        <x:v>10</x:v>
      </x:c>
      <x:c r="J21" s="13" t="n">
        <x:v>6020</x:v>
      </x:c>
      <x:c r="K21" s="2" t="str">
        <x:f>IF(I21=0,"工厂匹配供料",IF(J21&gt;=I21,"目录数量足够","散买缺货"))</x:f>
        <x:v>目录数量足够</x:v>
      </x:c>
      <x:c r="L21" s="7" t="str">
        <x:v>HDR-TH_PZ254V-11-16P</x:v>
      </x:c>
      <x:c r="M21" s="7" t="str">
        <x:v>J20,J21,J22,J23,J24,J25</x:v>
      </x:c>
      <x:c r="N21" s="2"/>
      <x:c r="O21" s="2" t="str">
        <x:v>https://www.lcsc.com/product-detail/C22465876.html</x:v>
      </x:c>
      <x:c r="P21" s="12" t="d">
        <x:v>2026-10-20T20:00:03.401Z</x:v>
      </x:c>
    </x:row>
    <x:row r="22" ht="96" customHeight="1">
      <x:c r="A22" s="2" t="str">
        <x:v>C22548</x:v>
      </x:c>
      <x:c r="B22" s="7" t="str">
        <x:v>RC0603FR-071KL</x:v>
      </x:c>
      <x:c r="C22" s="8" t="n">
        <x:v>87</x:v>
      </x:c>
      <x:c r="D22" s="2" t="str">
        <x:v>工厂SMT供料</x:v>
      </x:c>
      <x:c r="E22" s="13" t="n">
        <x:f>C22*IF(D22="工厂SMT供料",$B$3,$B$4)</x:f>
        <x:v>174</x:v>
      </x:c>
      <x:c r="F22" s="13" t="n">
        <x:v>0</x:v>
      </x:c>
      <x:c r="G22" s="13" t="n">
        <x:v>100</x:v>
      </x:c>
      <x:c r="H22" s="13" t="n">
        <x:v>100</x:v>
      </x:c>
      <x:c r="I22" s="13" t="n">
        <x:f>IF(D22="工厂SMT供料",0,CEILING(MAX(E22+F22,G22),H22))</x:f>
        <x:v>0</x:v>
      </x:c>
      <x:c r="J22" s="13" t="n">
        <x:v>10258400</x:v>
      </x:c>
      <x:c r="K22" s="2" t="str">
        <x:f>IF(I22=0,"工厂匹配供料",IF(J22&gt;=I22,"目录数量足够","散买缺货"))</x:f>
        <x:v>工厂匹配供料</x:v>
      </x:c>
      <x:c r="L22" s="7" t="str">
        <x:v>R0603</x:v>
      </x:c>
      <x:c r="M22" s="7" t="str">
        <x:v>R100,R101,R102,R103,R104,R105,R106,R107,R108,R109,R110,R111,R112,R113,R120,R121,R122,R123,R124,R125,R126,R127,R128,R129,R130,R131,R132,R133,R140,R141,R142,R143,R144,R145,R146,R147,R148,R149,R150,R151,R152,R153,R160,R161,R162,R163,R164,R165,R166,R167,R168,R169,R170,R171,R172,R173,R180,R181,R182,R183,R184,R185,R186,R187,R188,R189,R190,R191,R192,R193,R200,R201,R202,R203,R204,R205,R206,R207,R208,R209,R210,R211,R212,R213,R71,R72,R73</x:v>
      </x:c>
      <x:c r="N22" s="2"/>
      <x:c r="O22" s="2" t="str">
        <x:v>https://www.lcsc.com/product-detail/C22548.html</x:v>
      </x:c>
      <x:c r="P22" s="12" t="d">
        <x:v>2026-10-20T20:00:03.496Z</x:v>
      </x:c>
    </x:row>
    <x:row r="23" ht="44" customHeight="1">
      <x:c r="A23" s="2" t="str">
        <x:v>C22775</x:v>
      </x:c>
      <x:c r="B23" s="7" t="str">
        <x:v>0603WAF1000T5E</x:v>
      </x:c>
      <x:c r="C23" s="8" t="n">
        <x:v>2</x:v>
      </x:c>
      <x:c r="D23" s="2" t="str">
        <x:v>工厂SMT供料</x:v>
      </x:c>
      <x:c r="E23" s="13" t="n">
        <x:f>C23*IF(D23="工厂SMT供料",$B$3,$B$4)</x:f>
        <x:v>4</x:v>
      </x:c>
      <x:c r="F23" s="13" t="n">
        <x:v>0</x:v>
      </x:c>
      <x:c r="G23" s="13" t="n">
        <x:v>100</x:v>
      </x:c>
      <x:c r="H23" s="13" t="n">
        <x:v>100</x:v>
      </x:c>
      <x:c r="I23" s="13" t="n">
        <x:f>IF(D23="工厂SMT供料",0,CEILING(MAX(E23+F23,G23),H23))</x:f>
        <x:v>0</x:v>
      </x:c>
      <x:c r="J23" s="13" t="n">
        <x:v>2196500</x:v>
      </x:c>
      <x:c r="K23" s="2" t="str">
        <x:f>IF(I23=0,"工厂匹配供料",IF(J23&gt;=I23,"目录数量足够","散买缺货"))</x:f>
        <x:v>工厂匹配供料</x:v>
      </x:c>
      <x:c r="L23" s="7" t="str">
        <x:v>R0603</x:v>
      </x:c>
      <x:c r="M23" s="7" t="str">
        <x:v>R41,R42</x:v>
      </x:c>
      <x:c r="N23" s="2"/>
      <x:c r="O23" s="2" t="str">
        <x:v>https://www.lcsc.com/product-detail/C22775.html</x:v>
      </x:c>
      <x:c r="P23" s="12" t="d">
        <x:v>2026-10-20T20:00:03.792Z</x:v>
      </x:c>
    </x:row>
    <x:row r="24" ht="44" customHeight="1">
      <x:c r="A24" s="2" t="str">
        <x:v>C22912</x:v>
      </x:c>
      <x:c r="B24" s="7" t="str">
        <x:v>0603WAF2372T5E</x:v>
      </x:c>
      <x:c r="C24" s="8" t="n">
        <x:v>1</x:v>
      </x:c>
      <x:c r="D24" s="2" t="str">
        <x:v>工厂SMT供料</x:v>
      </x:c>
      <x:c r="E24" s="13" t="n">
        <x:f>C24*IF(D24="工厂SMT供料",$B$3,$B$4)</x:f>
        <x:v>2</x:v>
      </x:c>
      <x:c r="F24" s="13" t="n">
        <x:v>0</x:v>
      </x:c>
      <x:c r="G24" s="13" t="n">
        <x:v>100</x:v>
      </x:c>
      <x:c r="H24" s="13" t="n">
        <x:v>100</x:v>
      </x:c>
      <x:c r="I24" s="13" t="n">
        <x:f>IF(D24="工厂SMT供料",0,CEILING(MAX(E24+F24,G24),H24))</x:f>
        <x:v>0</x:v>
      </x:c>
      <x:c r="J24" s="13" t="n">
        <x:v>32500</x:v>
      </x:c>
      <x:c r="K24" s="2" t="str">
        <x:f>IF(I24=0,"工厂匹配供料",IF(J24&gt;=I24,"目录数量足够","散买缺货"))</x:f>
        <x:v>工厂匹配供料</x:v>
      </x:c>
      <x:c r="L24" s="7" t="str">
        <x:v>R0603</x:v>
      </x:c>
      <x:c r="M24" s="7" t="str">
        <x:v>R67</x:v>
      </x:c>
      <x:c r="N24" s="2"/>
      <x:c r="O24" s="2" t="str">
        <x:v>https://www.lcsc.com/product-detail/C22912.html</x:v>
      </x:c>
      <x:c r="P24" s="12" t="d">
        <x:v>2026-10-20T20:00:04.065Z</x:v>
      </x:c>
    </x:row>
    <x:row r="25" ht="44" customHeight="1">
      <x:c r="A25" s="2" t="str">
        <x:v>C22962</x:v>
      </x:c>
      <x:c r="B25" s="7" t="str">
        <x:v>0603WAF2200T5E</x:v>
      </x:c>
      <x:c r="C25" s="8" t="n">
        <x:v>6</x:v>
      </x:c>
      <x:c r="D25" s="2" t="str">
        <x:v>工厂SMT供料</x:v>
      </x:c>
      <x:c r="E25" s="13" t="n">
        <x:f>C25*IF(D25="工厂SMT供料",$B$3,$B$4)</x:f>
        <x:v>12</x:v>
      </x:c>
      <x:c r="F25" s="13" t="n">
        <x:v>0</x:v>
      </x:c>
      <x:c r="G25" s="13" t="n">
        <x:v>100</x:v>
      </x:c>
      <x:c r="H25" s="13" t="n">
        <x:v>100</x:v>
      </x:c>
      <x:c r="I25" s="13" t="n">
        <x:f>IF(D25="工厂SMT供料",0,CEILING(MAX(E25+F25,G25),H25))</x:f>
        <x:v>0</x:v>
      </x:c>
      <x:c r="J25" s="13" t="n">
        <x:v>360300</x:v>
      </x:c>
      <x:c r="K25" s="2" t="str">
        <x:f>IF(I25=0,"工厂匹配供料",IF(J25&gt;=I25,"目录数量足够","散买缺货"))</x:f>
        <x:v>工厂匹配供料</x:v>
      </x:c>
      <x:c r="L25" s="7" t="str">
        <x:v>R0603</x:v>
      </x:c>
      <x:c r="M25" s="7" t="str">
        <x:v>R11,R12,R13,R14,R15,R16</x:v>
      </x:c>
      <x:c r="N25" s="2"/>
      <x:c r="O25" s="2" t="str">
        <x:v>https://www.lcsc.com/product-detail/C22962.html</x:v>
      </x:c>
      <x:c r="P25" s="12" t="d">
        <x:v>2026-10-20T20:00:04.249Z</x:v>
      </x:c>
    </x:row>
    <x:row r="26" ht="44" customHeight="1">
      <x:c r="A26" s="2" t="str">
        <x:v>C23162</x:v>
      </x:c>
      <x:c r="B26" s="7" t="str">
        <x:v>0603WAF4701T5E</x:v>
      </x:c>
      <x:c r="C26" s="8" t="n">
        <x:v>5</x:v>
      </x:c>
      <x:c r="D26" s="2" t="str">
        <x:v>工厂SMT供料</x:v>
      </x:c>
      <x:c r="E26" s="13" t="n">
        <x:f>C26*IF(D26="工厂SMT供料",$B$3,$B$4)</x:f>
        <x:v>10</x:v>
      </x:c>
      <x:c r="F26" s="13" t="n">
        <x:v>0</x:v>
      </x:c>
      <x:c r="G26" s="13" t="n">
        <x:v>100</x:v>
      </x:c>
      <x:c r="H26" s="13" t="n">
        <x:v>100</x:v>
      </x:c>
      <x:c r="I26" s="13" t="n">
        <x:f>IF(D26="工厂SMT供料",0,CEILING(MAX(E26+F26,G26),H26))</x:f>
        <x:v>0</x:v>
      </x:c>
      <x:c r="J26" s="13" t="n">
        <x:v>5977500</x:v>
      </x:c>
      <x:c r="K26" s="2" t="str">
        <x:f>IF(I26=0,"工厂匹配供料",IF(J26&gt;=I26,"目录数量足够","散买缺货"))</x:f>
        <x:v>工厂匹配供料</x:v>
      </x:c>
      <x:c r="L26" s="7" t="str">
        <x:v>R0603</x:v>
      </x:c>
      <x:c r="M26" s="7" t="str">
        <x:v>R33,R34,R52,R60,R61</x:v>
      </x:c>
      <x:c r="N26" s="2"/>
      <x:c r="O26" s="2" t="str">
        <x:v>https://www.lcsc.com/product-detail/C23162.html</x:v>
      </x:c>
      <x:c r="P26" s="12" t="d">
        <x:v>2026-10-20T20:00:04.521Z</x:v>
      </x:c>
    </x:row>
    <x:row r="27" ht="44" customHeight="1">
      <x:c r="A27" s="2" t="str">
        <x:v>C247920</x:v>
      </x:c>
      <x:c r="B27" s="7" t="str">
        <x:v>2.54-1*12P反弯针</x:v>
      </x:c>
      <x:c r="C27" s="8" t="n">
        <x:v>2</x:v>
      </x:c>
      <x:c r="D27" s="2" t="str">
        <x:v>手焊通孔</x:v>
      </x:c>
      <x:c r="E27" s="13" t="n">
        <x:f>C27*IF(D27="工厂SMT供料",$B$3,$B$4)</x:f>
        <x:v>2</x:v>
      </x:c>
      <x:c r="F27" s="13" t="n">
        <x:v>1</x:v>
      </x:c>
      <x:c r="G27" s="13" t="n">
        <x:v>10</x:v>
      </x:c>
      <x:c r="H27" s="13" t="n">
        <x:v>10</x:v>
      </x:c>
      <x:c r="I27" s="13" t="n">
        <x:f>IF(D27="工厂SMT供料",0,CEILING(MAX(E27+F27,G27),H27))</x:f>
        <x:v>10</x:v>
      </x:c>
      <x:c r="J27" s="13" t="n">
        <x:v>60</x:v>
      </x:c>
      <x:c r="K27" s="2" t="str">
        <x:f>IF(I27=0,"工厂匹配供料",IF(J27&gt;=I27,"目录数量足够","散买缺货"))</x:f>
        <x:v>目录数量足够</x:v>
      </x:c>
      <x:c r="L27" s="7" t="str">
        <x:v>HDR-TH_12P-P2.54-H-M-W10.5</x:v>
      </x:c>
      <x:c r="M27" s="7" t="str">
        <x:v>J10,J11</x:v>
      </x:c>
      <x:c r="N27" s="2"/>
      <x:c r="O27" s="2" t="str">
        <x:v>https://www.lcsc.com/product-detail/C247920.html</x:v>
      </x:c>
      <x:c r="P27" s="12" t="d">
        <x:v>2026-10-20T20:00:04.789Z</x:v>
      </x:c>
    </x:row>
    <x:row r="28" ht="44" customHeight="1">
      <x:c r="A28" s="2" t="str">
        <x:v>C25803</x:v>
      </x:c>
      <x:c r="B28" s="7" t="str">
        <x:v>0603WAF1003T5E</x:v>
      </x:c>
      <x:c r="C28" s="8" t="n">
        <x:v>6</x:v>
      </x:c>
      <x:c r="D28" s="2" t="str">
        <x:v>工厂SMT供料</x:v>
      </x:c>
      <x:c r="E28" s="13" t="n">
        <x:f>C28*IF(D28="工厂SMT供料",$B$3,$B$4)</x:f>
        <x:v>12</x:v>
      </x:c>
      <x:c r="F28" s="13" t="n">
        <x:v>0</x:v>
      </x:c>
      <x:c r="G28" s="13" t="n">
        <x:v>100</x:v>
      </x:c>
      <x:c r="H28" s="13" t="n">
        <x:v>100</x:v>
      </x:c>
      <x:c r="I28" s="13" t="n">
        <x:f>IF(D28="工厂SMT供料",0,CEILING(MAX(E28+F28,G28),H28))</x:f>
        <x:v>0</x:v>
      </x:c>
      <x:c r="J28" s="13" t="n">
        <x:v>10162900</x:v>
      </x:c>
      <x:c r="K28" s="2" t="str">
        <x:f>IF(I28=0,"工厂匹配供料",IF(J28&gt;=I28,"目录数量足够","散买缺货"))</x:f>
        <x:v>工厂匹配供料</x:v>
      </x:c>
      <x:c r="L28" s="7" t="str">
        <x:v>R0603</x:v>
      </x:c>
      <x:c r="M28" s="7" t="str">
        <x:v>R63,R64,R65,R66,R68,R69</x:v>
      </x:c>
      <x:c r="N28" s="2"/>
      <x:c r="O28" s="2" t="str">
        <x:v>https://www.lcsc.com/product-detail/C25803.html</x:v>
      </x:c>
      <x:c r="P28" s="12" t="d">
        <x:v>2026-10-20T20:00:04.987Z</x:v>
      </x:c>
    </x:row>
    <x:row r="29" ht="44" customHeight="1">
      <x:c r="A29" s="2" t="str">
        <x:v>C273656</x:v>
      </x:c>
      <x:c r="B29" s="7" t="str">
        <x:v>SN74LV165ADR</x:v>
      </x:c>
      <x:c r="C29" s="8" t="n">
        <x:v>1</x:v>
      </x:c>
      <x:c r="D29" s="2" t="str">
        <x:v>工厂SMT供料</x:v>
      </x:c>
      <x:c r="E29" s="13" t="n">
        <x:f>C29*IF(D29="工厂SMT供料",$B$3,$B$4)</x:f>
        <x:v>2</x:v>
      </x:c>
      <x:c r="F29" s="13" t="n">
        <x:v>0</x:v>
      </x:c>
      <x:c r="G29" s="13" t="n">
        <x:v>5</x:v>
      </x:c>
      <x:c r="H29" s="13" t="n">
        <x:v>5</x:v>
      </x:c>
      <x:c r="I29" s="13" t="n">
        <x:f>IF(D29="工厂SMT供料",0,CEILING(MAX(E29+F29,G29),H29))</x:f>
        <x:v>0</x:v>
      </x:c>
      <x:c r="J29" s="13" t="n">
        <x:v>7865</x:v>
      </x:c>
      <x:c r="K29" s="2" t="str">
        <x:f>IF(I29=0,"工厂匹配供料",IF(J29&gt;=I29,"目录数量足够","散买缺货"))</x:f>
        <x:v>工厂匹配供料</x:v>
      </x:c>
      <x:c r="L29" s="7" t="str">
        <x:v>SOIC-16_L9.9-W3.9-P1.27-LS6.0-BL</x:v>
      </x:c>
      <x:c r="M29" s="7" t="str">
        <x:v>U9</x:v>
      </x:c>
      <x:c r="N29" s="2"/>
      <x:c r="O29" s="2" t="str">
        <x:v>https://www.lcsc.com/product-detail/C273656.html</x:v>
      </x:c>
      <x:c r="P29" s="12" t="d">
        <x:v>2026-10-20T20:00:05.255Z</x:v>
      </x:c>
    </x:row>
    <x:row r="30" ht="44" customHeight="1">
      <x:c r="A30" s="2" t="str">
        <x:v>C318884</x:v>
      </x:c>
      <x:c r="B30" s="7" t="str">
        <x:v>TS-1187A-B-A-B</x:v>
      </x:c>
      <x:c r="C30" s="8" t="n">
        <x:v>5</x:v>
      </x:c>
      <x:c r="D30" s="2" t="str">
        <x:v>工厂SMT供料</x:v>
      </x:c>
      <x:c r="E30" s="13" t="n">
        <x:f>C30*IF(D30="工厂SMT供料",$B$3,$B$4)</x:f>
        <x:v>10</x:v>
      </x:c>
      <x:c r="F30" s="13" t="n">
        <x:v>0</x:v>
      </x:c>
      <x:c r="G30" s="13" t="n">
        <x:v>20</x:v>
      </x:c>
      <x:c r="H30" s="13" t="n">
        <x:v>20</x:v>
      </x:c>
      <x:c r="I30" s="13" t="n">
        <x:f>IF(D30="工厂SMT供料",0,CEILING(MAX(E30+F30,G30),H30))</x:f>
        <x:v>0</x:v>
      </x:c>
      <x:c r="J30" s="13" t="n">
        <x:v>0</x:v>
      </x:c>
      <x:c r="K30" s="2" t="str">
        <x:f>IF(I30=0,"工厂匹配供料",IF(J30&gt;=I30,"目录数量足够","散买缺货"))</x:f>
        <x:v>工厂匹配供料</x:v>
      </x:c>
      <x:c r="L30" s="7" t="str">
        <x:v>SW-SMD_4P-L5.1-W5.1-P3.70-LS6.5-TL_H1.5</x:v>
      </x:c>
      <x:c r="M30" s="7" t="str">
        <x:v>SW2,SW3,SW4,SW5,SW6</x:v>
      </x:c>
      <x:c r="N30" s="2"/>
      <x:c r="O30" s="2" t="str">
        <x:v>https://www.lcsc.com/product-detail/C318884.html</x:v>
      </x:c>
      <x:c r="P30" s="12" t="d">
        <x:v>2026-10-20T20:00:05.449Z</x:v>
      </x:c>
    </x:row>
    <x:row r="31" ht="44" customHeight="1">
      <x:c r="A31" s="2" t="str">
        <x:v>C411625</x:v>
      </x:c>
      <x:c r="B31" s="7" t="str">
        <x:v>24LC256-I/SN</x:v>
      </x:c>
      <x:c r="C31" s="8" t="n">
        <x:v>1</x:v>
      </x:c>
      <x:c r="D31" s="2" t="str">
        <x:v>工厂SMT供料</x:v>
      </x:c>
      <x:c r="E31" s="13" t="n">
        <x:f>C31*IF(D31="工厂SMT供料",$B$3,$B$4)</x:f>
        <x:v>2</x:v>
      </x:c>
      <x:c r="F31" s="13" t="n">
        <x:v>0</x:v>
      </x:c>
      <x:c r="G31" s="13" t="n">
        <x:v>1</x:v>
      </x:c>
      <x:c r="H31" s="13" t="n">
        <x:v>1</x:v>
      </x:c>
      <x:c r="I31" s="13" t="n">
        <x:f>IF(D31="工厂SMT供料",0,CEILING(MAX(E31+F31,G31),H31))</x:f>
        <x:v>0</x:v>
      </x:c>
      <x:c r="J31" s="13" t="n">
        <x:v>509</x:v>
      </x:c>
      <x:c r="K31" s="2" t="str">
        <x:f>IF(I31=0,"工厂匹配供料",IF(J31&gt;=I31,"目录数量足够","散买缺货"))</x:f>
        <x:v>工厂匹配供料</x:v>
      </x:c>
      <x:c r="L31" s="7" t="str">
        <x:v>SOIC-8_L5.0-W4.0-P1.27-LS6.0-BL</x:v>
      </x:c>
      <x:c r="M31" s="7" t="str">
        <x:v>U10</x:v>
      </x:c>
      <x:c r="N31" s="2"/>
      <x:c r="O31" s="2" t="str">
        <x:v>https://www.lcsc.com/product-detail/C411625.html</x:v>
      </x:c>
      <x:c r="P31" s="12" t="d">
        <x:v>2026-10-20T20:00:05.757Z</x:v>
      </x:c>
    </x:row>
    <x:row r="32" ht="44" customHeight="1">
      <x:c r="A32" s="2" t="str">
        <x:v>C4190</x:v>
      </x:c>
      <x:c r="B32" s="7" t="str">
        <x:v>0603WAF2201T5E</x:v>
      </x:c>
      <x:c r="C32" s="8" t="n">
        <x:v>2</x:v>
      </x:c>
      <x:c r="D32" s="2" t="str">
        <x:v>工厂SMT供料</x:v>
      </x:c>
      <x:c r="E32" s="13" t="n">
        <x:f>C32*IF(D32="工厂SMT供料",$B$3,$B$4)</x:f>
        <x:v>4</x:v>
      </x:c>
      <x:c r="F32" s="13" t="n">
        <x:v>0</x:v>
      </x:c>
      <x:c r="G32" s="13" t="n">
        <x:v>100</x:v>
      </x:c>
      <x:c r="H32" s="13" t="n">
        <x:v>100</x:v>
      </x:c>
      <x:c r="I32" s="13" t="n">
        <x:f>IF(D32="工厂SMT供料",0,CEILING(MAX(E32+F32,G32),H32))</x:f>
        <x:v>0</x:v>
      </x:c>
      <x:c r="J32" s="13" t="n">
        <x:v>3748700</x:v>
      </x:c>
      <x:c r="K32" s="2" t="str">
        <x:f>IF(I32=0,"工厂匹配供料",IF(J32&gt;=I32,"目录数量足够","散买缺货"))</x:f>
        <x:v>工厂匹配供料</x:v>
      </x:c>
      <x:c r="L32" s="7" t="str">
        <x:v>R0603</x:v>
      </x:c>
      <x:c r="M32" s="7" t="str">
        <x:v>R50,R51</x:v>
      </x:c>
      <x:c r="N32" s="2"/>
      <x:c r="O32" s="2" t="str">
        <x:v>https://www.lcsc.com/product-detail/C4190.html</x:v>
      </x:c>
      <x:c r="P32" s="12" t="d">
        <x:v>2026-10-20T20:00:05.997Z</x:v>
      </x:c>
    </x:row>
    <x:row r="33" ht="44" customHeight="1">
      <x:c r="A33" s="2" t="str">
        <x:v>C470754</x:v>
      </x:c>
      <x:c r="B33" s="7" t="str">
        <x:v>EC11E15244B2</x:v>
      </x:c>
      <x:c r="C33" s="8" t="n">
        <x:v>1</x:v>
      </x:c>
      <x:c r="D33" s="2" t="str">
        <x:v>手焊通孔</x:v>
      </x:c>
      <x:c r="E33" s="13" t="n">
        <x:f>C33*IF(D33="工厂SMT供料",$B$3,$B$4)</x:f>
        <x:v>1</x:v>
      </x:c>
      <x:c r="F33" s="13" t="n">
        <x:v>1</x:v>
      </x:c>
      <x:c r="G33" s="13" t="n">
        <x:v>1</x:v>
      </x:c>
      <x:c r="H33" s="13" t="n">
        <x:v>1</x:v>
      </x:c>
      <x:c r="I33" s="13" t="n">
        <x:f>IF(D33="工厂SMT供料",0,CEILING(MAX(E33+F33,G33),H33))</x:f>
        <x:v>2</x:v>
      </x:c>
      <x:c r="J33" s="13" t="n">
        <x:v>4034</x:v>
      </x:c>
      <x:c r="K33" s="2" t="str">
        <x:f>IF(I33=0,"工厂匹配供料",IF(J33&gt;=I33,"目录数量足够","散买缺货"))</x:f>
        <x:v>目录数量足够</x:v>
      </x:c>
      <x:c r="L33" s="7" t="str">
        <x:v>SW-TH_EC11XXXXXXXX</x:v>
      </x:c>
      <x:c r="M33" s="7" t="str">
        <x:v>SW1</x:v>
      </x:c>
      <x:c r="N33" s="2"/>
      <x:c r="O33" s="2" t="str">
        <x:v>https://www.lcsc.com/product-detail/C470754.html</x:v>
      </x:c>
      <x:c r="P33" s="12" t="d">
        <x:v>2026-10-20T20:00:06.209Z</x:v>
      </x:c>
    </x:row>
    <x:row r="34" ht="44" customHeight="1">
      <x:c r="A34" s="2" t="str">
        <x:v>C49257</x:v>
      </x:c>
      <x:c r="B34" s="7" t="str">
        <x:v>2.54-1*3P针</x:v>
      </x:c>
      <x:c r="C34" s="8" t="n">
        <x:v>1</x:v>
      </x:c>
      <x:c r="D34" s="2" t="str">
        <x:v>手焊通孔</x:v>
      </x:c>
      <x:c r="E34" s="13" t="n">
        <x:f>C34*IF(D34="工厂SMT供料",$B$3,$B$4)</x:f>
        <x:v>1</x:v>
      </x:c>
      <x:c r="F34" s="13" t="n">
        <x:v>1</x:v>
      </x:c>
      <x:c r="G34" s="13" t="n">
        <x:v>20</x:v>
      </x:c>
      <x:c r="H34" s="13" t="n">
        <x:v>20</x:v>
      </x:c>
      <x:c r="I34" s="13" t="n">
        <x:f>IF(D34="工厂SMT供料",0,CEILING(MAX(E34+F34,G34),H34))</x:f>
        <x:v>20</x:v>
      </x:c>
      <x:c r="J34" s="13" t="n">
        <x:v>181660</x:v>
      </x:c>
      <x:c r="K34" s="2" t="str">
        <x:f>IF(I34=0,"工厂匹配供料",IF(J34&gt;=I34,"目录数量足够","散买缺货"))</x:f>
        <x:v>目录数量足够</x:v>
      </x:c>
      <x:c r="L34" s="7" t="str">
        <x:v>HDR-TH_3P-P2.54-V-M-1</x:v>
      </x:c>
      <x:c r="M34" s="7" t="str">
        <x:v>J12</x:v>
      </x:c>
      <x:c r="N34" s="2"/>
      <x:c r="O34" s="2" t="str">
        <x:v>https://www.lcsc.com/product-detail/C49257.html</x:v>
      </x:c>
      <x:c r="P34" s="12" t="d">
        <x:v>2026-10-20T20:00:06.508Z</x:v>
      </x:c>
    </x:row>
    <x:row r="35" ht="44" customHeight="1">
      <x:c r="A35" s="2" t="str">
        <x:v>C503437</x:v>
      </x:c>
      <x:c r="B35" s="7" t="str">
        <x:v>74LVC1G157GV,125</x:v>
      </x:c>
      <x:c r="C35" s="8" t="n">
        <x:v>1</x:v>
      </x:c>
      <x:c r="D35" s="2" t="str">
        <x:v>工厂SMT供料</x:v>
      </x:c>
      <x:c r="E35" s="13" t="n">
        <x:f>C35*IF(D35="工厂SMT供料",$B$3,$B$4)</x:f>
        <x:v>2</x:v>
      </x:c>
      <x:c r="F35" s="13" t="n">
        <x:v>0</x:v>
      </x:c>
      <x:c r="G35" s="13" t="n">
        <x:v>5</x:v>
      </x:c>
      <x:c r="H35" s="13" t="n">
        <x:v>5</x:v>
      </x:c>
      <x:c r="I35" s="13" t="n">
        <x:f>IF(D35="工厂SMT供料",0,CEILING(MAX(E35+F35,G35),H35))</x:f>
        <x:v>0</x:v>
      </x:c>
      <x:c r="J35" s="13" t="n">
        <x:v>3350</x:v>
      </x:c>
      <x:c r="K35" s="2" t="str">
        <x:f>IF(I35=0,"工厂匹配供料",IF(J35&gt;=I35,"目录数量足够","散买缺货"))</x:f>
        <x:v>工厂匹配供料</x:v>
      </x:c>
      <x:c r="L35" s="7" t="str">
        <x:v>TSOP-6_L3.0-W1.5-P0.95-LS2.8-BR</x:v>
      </x:c>
      <x:c r="M35" s="7" t="str">
        <x:v>U11</x:v>
      </x:c>
      <x:c r="N35" s="2"/>
      <x:c r="O35" s="2" t="str">
        <x:v>https://www.lcsc.com/product-detail/C503437.html</x:v>
      </x:c>
      <x:c r="P35" s="12" t="d">
        <x:v>2026-10-20T20:00:06.757Z</x:v>
      </x:c>
    </x:row>
    <x:row r="36" ht="44" customHeight="1">
      <x:c r="A36" s="2" t="str">
        <x:v>C50984</x:v>
      </x:c>
      <x:c r="B36" s="7" t="str">
        <x:v>2.54-1*20P母</x:v>
      </x:c>
      <x:c r="C36" s="8" t="n">
        <x:v>2</x:v>
      </x:c>
      <x:c r="D36" s="2" t="str">
        <x:v>手焊通孔</x:v>
      </x:c>
      <x:c r="E36" s="13" t="n">
        <x:f>C36*IF(D36="工厂SMT供料",$B$3,$B$4)</x:f>
        <x:v>2</x:v>
      </x:c>
      <x:c r="F36" s="13" t="n">
        <x:v>1</x:v>
      </x:c>
      <x:c r="G36" s="13" t="n">
        <x:v>5</x:v>
      </x:c>
      <x:c r="H36" s="13" t="n">
        <x:v>5</x:v>
      </x:c>
      <x:c r="I36" s="13" t="n">
        <x:f>IF(D36="工厂SMT供料",0,CEILING(MAX(E36+F36,G36),H36))</x:f>
        <x:v>5</x:v>
      </x:c>
      <x:c r="J36" s="13" t="n">
        <x:v>5</x:v>
      </x:c>
      <x:c r="K36" s="2" t="str">
        <x:f>IF(I36=0,"工厂匹配供料",IF(J36&gt;=I36,"目录数量足够","散买缺货"))</x:f>
        <x:v>目录数量足够</x:v>
      </x:c>
      <x:c r="L36" s="7" t="str">
        <x:v>HDR-TH_20P-P2.54-V-F</x:v>
      </x:c>
      <x:c r="M36" s="7" t="str">
        <x:v>J5,J6</x:v>
      </x:c>
      <x:c r="N36" s="2"/>
      <x:c r="O36" s="2" t="str">
        <x:v>https://www.lcsc.com/product-detail/C50984.html</x:v>
      </x:c>
      <x:c r="P36" s="12" t="d">
        <x:v>2026-10-20T20:00:06.833Z</x:v>
      </x:c>
    </x:row>
    <x:row r="37" ht="44" customHeight="1">
      <x:c r="A37" s="2" t="str">
        <x:v>C51118</x:v>
      </x:c>
      <x:c r="B37" s="7" t="str">
        <x:v>AP2112K-3.3TRG1</x:v>
      </x:c>
      <x:c r="C37" s="8" t="n">
        <x:v>2</x:v>
      </x:c>
      <x:c r="D37" s="2" t="str">
        <x:v>工厂SMT供料</x:v>
      </x:c>
      <x:c r="E37" s="13" t="n">
        <x:f>C37*IF(D37="工厂SMT供料",$B$3,$B$4)</x:f>
        <x:v>4</x:v>
      </x:c>
      <x:c r="F37" s="13" t="n">
        <x:v>0</x:v>
      </x:c>
      <x:c r="G37" s="13" t="n">
        <x:v>5</x:v>
      </x:c>
      <x:c r="H37" s="13" t="n">
        <x:v>5</x:v>
      </x:c>
      <x:c r="I37" s="13" t="n">
        <x:f>IF(D37="工厂SMT供料",0,CEILING(MAX(E37+F37,G37),H37))</x:f>
        <x:v>0</x:v>
      </x:c>
      <x:c r="J37" s="13" t="n">
        <x:v>14525</x:v>
      </x:c>
      <x:c r="K37" s="2" t="str">
        <x:f>IF(I37=0,"工厂匹配供料",IF(J37&gt;=I37,"目录数量足够","散买缺货"))</x:f>
        <x:v>工厂匹配供料</x:v>
      </x:c>
      <x:c r="L37" s="7" t="str">
        <x:v>SOT-25-5_L2.9-W1.6-P0.95-LS2.8-BL</x:v>
      </x:c>
      <x:c r="M37" s="7" t="str">
        <x:v>U13,U18</x:v>
      </x:c>
      <x:c r="N37" s="2"/>
      <x:c r="O37" s="2" t="str">
        <x:v>https://www.lcsc.com/product-detail/C51118.html</x:v>
      </x:c>
      <x:c r="P37" s="12" t="d">
        <x:v>2026-10-20T20:00:07.204Z</x:v>
      </x:c>
    </x:row>
    <x:row r="38" ht="44" customHeight="1">
      <x:c r="A38" s="2" t="str">
        <x:v>C544515</x:v>
      </x:c>
      <x:c r="B38" s="7" t="str">
        <x:v>TCA9517DGKR</x:v>
      </x:c>
      <x:c r="C38" s="8" t="n">
        <x:v>1</x:v>
      </x:c>
      <x:c r="D38" s="2" t="str">
        <x:v>工厂SMT供料</x:v>
      </x:c>
      <x:c r="E38" s="13" t="n">
        <x:f>C38*IF(D38="工厂SMT供料",$B$3,$B$4)</x:f>
        <x:v>2</x:v>
      </x:c>
      <x:c r="F38" s="13" t="n">
        <x:v>0</x:v>
      </x:c>
      <x:c r="G38" s="13" t="n">
        <x:v>1</x:v>
      </x:c>
      <x:c r="H38" s="13" t="n">
        <x:v>1</x:v>
      </x:c>
      <x:c r="I38" s="13" t="n">
        <x:f>IF(D38="工厂SMT供料",0,CEILING(MAX(E38+F38,G38),H38))</x:f>
        <x:v>0</x:v>
      </x:c>
      <x:c r="J38" s="13" t="n">
        <x:v>256</x:v>
      </x:c>
      <x:c r="K38" s="2" t="str">
        <x:f>IF(I38=0,"工厂匹配供料",IF(J38&gt;=I38,"目录数量足够","散买缺货"))</x:f>
        <x:v>工厂匹配供料</x:v>
      </x:c>
      <x:c r="L38" s="7" t="str">
        <x:v>VSSOP-8_L3.0-W3.0-P0.65-LS5.0-BL</x:v>
      </x:c>
      <x:c r="M38" s="7" t="str">
        <x:v>U14</x:v>
      </x:c>
      <x:c r="N38" s="2"/>
      <x:c r="O38" s="2" t="str">
        <x:v>https://www.lcsc.com/product-detail/C544515.html</x:v>
      </x:c>
      <x:c r="P38" s="12" t="d">
        <x:v>2026-10-20T20:00:07.470Z</x:v>
      </x:c>
    </x:row>
    <x:row r="39" ht="44" customHeight="1">
      <x:c r="A39" s="2" t="str">
        <x:v>C55266</x:v>
      </x:c>
      <x:c r="B39" s="7" t="str">
        <x:v>TPS2553DBVR</x:v>
      </x:c>
      <x:c r="C39" s="8" t="n">
        <x:v>1</x:v>
      </x:c>
      <x:c r="D39" s="2" t="str">
        <x:v>工厂SMT供料</x:v>
      </x:c>
      <x:c r="E39" s="13" t="n">
        <x:f>C39*IF(D39="工厂SMT供料",$B$3,$B$4)</x:f>
        <x:v>2</x:v>
      </x:c>
      <x:c r="F39" s="13" t="n">
        <x:v>0</x:v>
      </x:c>
      <x:c r="G39" s="13" t="n">
        <x:v>1</x:v>
      </x:c>
      <x:c r="H39" s="13" t="n">
        <x:v>1</x:v>
      </x:c>
      <x:c r="I39" s="13" t="n">
        <x:f>IF(D39="工厂SMT供料",0,CEILING(MAX(E39+F39,G39),H39))</x:f>
        <x:v>0</x:v>
      </x:c>
      <x:c r="J39" s="13" t="n">
        <x:v>51001</x:v>
      </x:c>
      <x:c r="K39" s="2" t="str">
        <x:f>IF(I39=0,"工厂匹配供料",IF(J39&gt;=I39,"目录数量足够","散买缺货"))</x:f>
        <x:v>工厂匹配供料</x:v>
      </x:c>
      <x:c r="L39" s="7" t="str">
        <x:v>SOT-23-6_L2.9-W1.6-P0.95-LS2.8-BR</x:v>
      </x:c>
      <x:c r="M39" s="7" t="str">
        <x:v>U17</x:v>
      </x:c>
      <x:c r="N39" s="2"/>
      <x:c r="O39" s="2" t="str">
        <x:v>https://www.lcsc.com/product-detail/C55266.html</x:v>
      </x:c>
      <x:c r="P39" s="12" t="d">
        <x:v>2026-10-20T20:00:07.497Z</x:v>
      </x:c>
    </x:row>
    <x:row r="40" ht="44" customHeight="1">
      <x:c r="A40" s="2" t="str">
        <x:v>C7668</x:v>
      </x:c>
      <x:c r="B40" s="7" t="str">
        <x:v>SN74LVC244APWR</x:v>
      </x:c>
      <x:c r="C40" s="8" t="n">
        <x:v>1</x:v>
      </x:c>
      <x:c r="D40" s="2" t="str">
        <x:v>工厂SMT供料</x:v>
      </x:c>
      <x:c r="E40" s="13" t="n">
        <x:f>C40*IF(D40="工厂SMT供料",$B$3,$B$4)</x:f>
        <x:v>2</x:v>
      </x:c>
      <x:c r="F40" s="13" t="n">
        <x:v>0</x:v>
      </x:c>
      <x:c r="G40" s="13" t="n">
        <x:v>5</x:v>
      </x:c>
      <x:c r="H40" s="13" t="n">
        <x:v>5</x:v>
      </x:c>
      <x:c r="I40" s="13" t="n">
        <x:f>IF(D40="工厂SMT供料",0,CEILING(MAX(E40+F40,G40),H40))</x:f>
        <x:v>0</x:v>
      </x:c>
      <x:c r="J40" s="13" t="n">
        <x:v>104670</x:v>
      </x:c>
      <x:c r="K40" s="2" t="str">
        <x:f>IF(I40=0,"工厂匹配供料",IF(J40&gt;=I40,"目录数量足够","散买缺货"))</x:f>
        <x:v>工厂匹配供料</x:v>
      </x:c>
      <x:c r="L40" s="7" t="str">
        <x:v>TSSOP-20_L6.5-W4.4-P0.65-LS6.4-BL</x:v>
      </x:c>
      <x:c r="M40" s="7" t="str">
        <x:v>U15</x:v>
      </x:c>
      <x:c r="N40" s="2"/>
      <x:c r="O40" s="2" t="str">
        <x:v>https://www.lcsc.com/product-detail/C7668.html</x:v>
      </x:c>
      <x:c r="P40" s="12" t="d">
        <x:v>2026-10-20T20:00:08.015Z</x:v>
      </x:c>
    </x:row>
    <x:row r="41" ht="44" customHeight="1">
      <x:c r="A41" s="2" t="str">
        <x:v>C7836</x:v>
      </x:c>
      <x:c r="B41" s="7" t="str">
        <x:v>SN74LVC1G17DBVR</x:v>
      </x:c>
      <x:c r="C41" s="8" t="n">
        <x:v>1</x:v>
      </x:c>
      <x:c r="D41" s="2" t="str">
        <x:v>工厂SMT供料</x:v>
      </x:c>
      <x:c r="E41" s="13" t="n">
        <x:f>C41*IF(D41="工厂SMT供料",$B$3,$B$4)</x:f>
        <x:v>2</x:v>
      </x:c>
      <x:c r="F41" s="13" t="n">
        <x:v>0</x:v>
      </x:c>
      <x:c r="G41" s="13" t="n">
        <x:v>5</x:v>
      </x:c>
      <x:c r="H41" s="13" t="n">
        <x:v>5</x:v>
      </x:c>
      <x:c r="I41" s="13" t="n">
        <x:f>IF(D41="工厂SMT供料",0,CEILING(MAX(E41+F41,G41),H41))</x:f>
        <x:v>0</x:v>
      </x:c>
      <x:c r="J41" s="13" t="n">
        <x:v>16160</x:v>
      </x:c>
      <x:c r="K41" s="2" t="str">
        <x:f>IF(I41=0,"工厂匹配供料",IF(J41&gt;=I41,"目录数量足够","散买缺货"))</x:f>
        <x:v>工厂匹配供料</x:v>
      </x:c>
      <x:c r="L41" s="7" t="str">
        <x:v>SOT-23-5_L3.0-W1.7-P0.95-LS2.8-BR</x:v>
      </x:c>
      <x:c r="M41" s="7" t="str">
        <x:v>U16</x:v>
      </x:c>
      <x:c r="N41" s="2"/>
      <x:c r="O41" s="2" t="str">
        <x:v>https://www.lcsc.com/product-detail/C7836.html</x:v>
      </x:c>
      <x:c r="P41" s="12" t="d">
        <x:v>2026-10-20T20:00:08.262Z</x:v>
      </x:c>
    </x:row>
    <x:row r="42" ht="44" customHeight="1">
      <x:c r="A42" s="2" t="str">
        <x:v>C962071</x:v>
      </x:c>
      <x:c r="B42" s="7" t="str">
        <x:v>PCM5122PWR</x:v>
      </x:c>
      <x:c r="C42" s="8" t="n">
        <x:v>1</x:v>
      </x:c>
      <x:c r="D42" s="2" t="str">
        <x:v>工厂SMT供料</x:v>
      </x:c>
      <x:c r="E42" s="13" t="n">
        <x:f>C42*IF(D42="工厂SMT供料",$B$3,$B$4)</x:f>
        <x:v>2</x:v>
      </x:c>
      <x:c r="F42" s="13" t="n">
        <x:v>0</x:v>
      </x:c>
      <x:c r="G42" s="13" t="n">
        <x:v>1</x:v>
      </x:c>
      <x:c r="H42" s="13" t="n">
        <x:v>1</x:v>
      </x:c>
      <x:c r="I42" s="13" t="n">
        <x:f>IF(D42="工厂SMT供料",0,CEILING(MAX(E42+F42,G42),H42))</x:f>
        <x:v>0</x:v>
      </x:c>
      <x:c r="J42" s="13" t="n">
        <x:v>52</x:v>
      </x:c>
      <x:c r="K42" s="2" t="str">
        <x:f>IF(I42=0,"工厂匹配供料",IF(J42&gt;=I42,"目录数量足够","散买缺货"))</x:f>
        <x:v>工厂匹配供料</x:v>
      </x:c>
      <x:c r="L42" s="7" t="str">
        <x:v>TSSOP-28_L9.8-W6.6-P0.65-BL</x:v>
      </x:c>
      <x:c r="M42" s="7" t="str">
        <x:v>U12</x:v>
      </x:c>
      <x:c r="N42" s="2"/>
      <x:c r="O42" s="2" t="str">
        <x:v>https://www.lcsc.com/product-detail/C962071.html</x:v>
      </x:c>
      <x:c r="P42" s="12" t="d">
        <x:v>2026-10-20T20:00:08.278Z</x:v>
      </x:c>
    </x:row>
    <x:row r="43" ht="44" customHeight="1">
      <x:c r="A43" s="2" t="str">
        <x:v>C98220</x:v>
      </x:c>
      <x:c r="B43" s="7" t="str">
        <x:v>RC0603FR-0710KL</x:v>
      </x:c>
      <x:c r="C43" s="8" t="n">
        <x:v>11</x:v>
      </x:c>
      <x:c r="D43" s="2" t="str">
        <x:v>工厂SMT供料</x:v>
      </x:c>
      <x:c r="E43" s="13" t="n">
        <x:f>C43*IF(D43="工厂SMT供料",$B$3,$B$4)</x:f>
        <x:v>22</x:v>
      </x:c>
      <x:c r="F43" s="13" t="n">
        <x:v>0</x:v>
      </x:c>
      <x:c r="G43" s="13" t="n">
        <x:v>100</x:v>
      </x:c>
      <x:c r="H43" s="13" t="n">
        <x:v>100</x:v>
      </x:c>
      <x:c r="I43" s="13" t="n">
        <x:f>IF(D43="工厂SMT供料",0,CEILING(MAX(E43+F43,G43),H43))</x:f>
        <x:v>0</x:v>
      </x:c>
      <x:c r="J43" s="13" t="n">
        <x:v>1943400</x:v>
      </x:c>
      <x:c r="K43" s="2" t="str">
        <x:f>IF(I43=0,"工厂匹配供料",IF(J43&gt;=I43,"目录数量足够","散买缺货"))</x:f>
        <x:v>工厂匹配供料</x:v>
      </x:c>
      <x:c r="L43" s="7" t="str">
        <x:v>R0603</x:v>
      </x:c>
      <x:c r="M43" s="7" t="str">
        <x:v>R30,R31,R32,R40,R53,R54,R55,R56,R57,R62,R70</x:v>
      </x:c>
      <x:c r="N43" s="2"/>
      <x:c r="O43" s="2" t="str">
        <x:v>https://www.lcsc.com/product-detail/C98220.html</x:v>
      </x:c>
      <x:c r="P43" s="12" t="d">
        <x:v>2026-10-20T20:00:08.794Z</x:v>
      </x:c>
    </x:row>
  </x:sheetData>
  <x:conditionalFormatting sqref="K8:K43">
    <x:cfRule type="containsText" dxfId="1" priority="1" operator="containsText" text="缺货"/>
  </x:conditionalFormatting>
  <x:pageMargins left="0.7" right="0.7" top="0.75" bottom="0.75" header="0.3" footer="0.3"/>
  <x:tableParts count="1">
    <x:tablePart xmlns:r="http://schemas.openxmlformats.org/officeDocument/2006/relationships" r:id="R1caf98a483bd481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2.5" hidden="0" customWidth="1"/>
    <x:col min="3" max="3" width="30" hidden="0" customWidth="1"/>
    <x:col min="4" max="4" width="17.5" hidden="0" customWidth="1"/>
    <x:col min="5" max="5" width="12.5" hidden="0" customWidth="1"/>
    <x:col min="6" max="6" width="17.5" hidden="0" customWidth="1"/>
    <x:col min="7" max="7" width="3.130000114440918" hidden="0" customWidth="1"/>
    <x:col min="8" max="8" width="62.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MSP2401 小屏转接线</x:v>
      </x:c>
      <x:c r="B2" s="2"/>
      <x:c r="C2" s="2"/>
      <x:c r="D2" s="2"/>
      <x:c r="E2" s="2"/>
      <x:c r="F2" s="2"/>
      <x:c r="G2" s="2"/>
      <x:c r="H2" s="2"/>
    </x:row>
    <x:row r="3">
      <x:c r="A3" s="2" t="str">
        <x:v>厂家通用资料与当前载板焊盘已核对；成品线仍需确认模块版号、公母、朝向并逐线测通断。</x:v>
      </x:c>
      <x:c r="B3" s="2"/>
      <x:c r="C3" s="2"/>
      <x:c r="D3" s="2"/>
      <x:c r="E3" s="2"/>
      <x:c r="F3" s="2"/>
      <x:c r="G3" s="2"/>
      <x:c r="H3" s="2"/>
    </x:row>
    <x:row r="4">
      <x:c r="A4" s="2" t="str">
        <x:v>5V供电时模块J1断开。数字IO为3.3V。下表是错位映射，不能按相同针号直连。</x:v>
      </x:c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 ht="30" customHeight="1">
      <x:c r="A6" s="6" t="str">
        <x:v>载板接口</x:v>
      </x:c>
      <x:c r="B6" s="6" t="str">
        <x:v>载板脚号</x:v>
      </x:c>
      <x:c r="C6" s="6" t="str">
        <x:v>载板网络</x:v>
      </x:c>
      <x:c r="D6" s="6" t="str">
        <x:v>模块</x:v>
      </x:c>
      <x:c r="E6" s="6" t="str">
        <x:v>模块脚号</x:v>
      </x:c>
      <x:c r="F6" s="6" t="str">
        <x:v>模块信号</x:v>
      </x:c>
      <x:c r="G6" s="2"/>
      <x:c r="H6" s="2"/>
    </x:row>
    <x:row r="7" ht="30" customHeight="1">
      <x:c r="A7" s="2" t="str">
        <x:v>J11</x:v>
      </x:c>
      <x:c r="B7" s="2" t="n">
        <x:v>1</x:v>
      </x:c>
      <x:c r="C7" s="2" t="str">
        <x:v>5V_PERIPH</x:v>
      </x:c>
      <x:c r="D7" s="2" t="str">
        <x:v>MSP2401</x:v>
      </x:c>
      <x:c r="E7" s="2" t="n">
        <x:v>1</x:v>
      </x:c>
      <x:c r="F7" s="2" t="str">
        <x:v>VCC</x:v>
      </x:c>
      <x:c r="G7" s="2"/>
      <x:c r="H7" s="2"/>
    </x:row>
    <x:row r="8" ht="30" customHeight="1">
      <x:c r="A8" s="2" t="str">
        <x:v>J11</x:v>
      </x:c>
      <x:c r="B8" s="2" t="n">
        <x:v>2</x:v>
      </x:c>
      <x:c r="C8" s="2" t="str">
        <x:v>GND</x:v>
      </x:c>
      <x:c r="D8" s="2" t="str">
        <x:v>MSP2401</x:v>
      </x:c>
      <x:c r="E8" s="2" t="n">
        <x:v>2</x:v>
      </x:c>
      <x:c r="F8" s="2" t="str">
        <x:v>GND</x:v>
      </x:c>
      <x:c r="G8" s="2"/>
      <x:c r="H8" s="2"/>
    </x:row>
    <x:row r="9" ht="30" customHeight="1">
      <x:c r="A9" s="2" t="str">
        <x:v>J11</x:v>
      </x:c>
      <x:c r="B9" s="2" t="n">
        <x:v>5</x:v>
      </x:c>
      <x:c r="C9" s="2" t="str">
        <x:v>DISP_VIS_CS_N</x:v>
      </x:c>
      <x:c r="D9" s="2" t="str">
        <x:v>MSP2401</x:v>
      </x:c>
      <x:c r="E9" s="2" t="n">
        <x:v>3</x:v>
      </x:c>
      <x:c r="F9" s="2" t="str">
        <x:v>CS</x:v>
      </x:c>
      <x:c r="G9" s="2"/>
      <x:c r="H9" s="2"/>
    </x:row>
    <x:row r="10" ht="30" customHeight="1">
      <x:c r="A10" s="2" t="str">
        <x:v>J11</x:v>
      </x:c>
      <x:c r="B10" s="2" t="n">
        <x:v>7</x:v>
      </x:c>
      <x:c r="C10" s="2" t="str">
        <x:v>DISP_RESET_N</x:v>
      </x:c>
      <x:c r="D10" s="2" t="str">
        <x:v>MSP2401</x:v>
      </x:c>
      <x:c r="E10" s="2" t="n">
        <x:v>4</x:v>
      </x:c>
      <x:c r="F10" s="2" t="str">
        <x:v>RESET</x:v>
      </x:c>
      <x:c r="G10" s="2"/>
      <x:c r="H10" s="2"/>
    </x:row>
    <x:row r="11" ht="30" customHeight="1">
      <x:c r="A11" s="2" t="str">
        <x:v>J11</x:v>
      </x:c>
      <x:c r="B11" s="2" t="n">
        <x:v>6</x:v>
      </x:c>
      <x:c r="C11" s="2" t="str">
        <x:v>DISP_VIS_DC</x:v>
      </x:c>
      <x:c r="D11" s="2" t="str">
        <x:v>MSP2401</x:v>
      </x:c>
      <x:c r="E11" s="2" t="n">
        <x:v>5</x:v>
      </x:c>
      <x:c r="F11" s="2" t="str">
        <x:v>DC/RS</x:v>
      </x:c>
      <x:c r="G11" s="2"/>
      <x:c r="H11" s="2"/>
    </x:row>
    <x:row r="12" ht="30" customHeight="1">
      <x:c r="A12" s="2" t="str">
        <x:v>J11</x:v>
      </x:c>
      <x:c r="B12" s="2" t="n">
        <x:v>4</x:v>
      </x:c>
      <x:c r="C12" s="2" t="str">
        <x:v>DISP_MOSI</x:v>
      </x:c>
      <x:c r="D12" s="2" t="str">
        <x:v>MSP2401</x:v>
      </x:c>
      <x:c r="E12" s="2" t="n">
        <x:v>6</x:v>
      </x:c>
      <x:c r="F12" s="2" t="str">
        <x:v>SDI/MOSI</x:v>
      </x:c>
      <x:c r="G12" s="2"/>
      <x:c r="H12" s="2"/>
    </x:row>
    <x:row r="13" ht="30" customHeight="1">
      <x:c r="A13" s="2" t="str">
        <x:v>J11</x:v>
      </x:c>
      <x:c r="B13" s="2" t="n">
        <x:v>3</x:v>
      </x:c>
      <x:c r="C13" s="2" t="str">
        <x:v>DISP_SCK</x:v>
      </x:c>
      <x:c r="D13" s="2" t="str">
        <x:v>MSP2401</x:v>
      </x:c>
      <x:c r="E13" s="2" t="n">
        <x:v>7</x:v>
      </x:c>
      <x:c r="F13" s="2" t="str">
        <x:v>SCK</x:v>
      </x:c>
      <x:c r="G13" s="2"/>
      <x:c r="H13" s="2"/>
    </x:row>
    <x:row r="14" ht="30" customHeight="1">
      <x:c r="A14" s="2" t="str">
        <x:v>J11</x:v>
      </x:c>
      <x:c r="B14" s="2" t="n">
        <x:v>8</x:v>
      </x:c>
      <x:c r="C14" s="2" t="str">
        <x:v>VIS_BL_EN</x:v>
      </x:c>
      <x:c r="D14" s="2" t="str">
        <x:v>MSP2401</x:v>
      </x:c>
      <x:c r="E14" s="2" t="n">
        <x:v>8</x:v>
      </x:c>
      <x:c r="F14" s="2" t="str">
        <x:v>LED</x:v>
      </x:c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 t="str">
        <x:v>模块9 SDO不接；10–14触摸端不使用。载板9–11 NC，12为备用GND。</x:v>
      </x:c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 t="str">
        <x:v>资料来源：https://www.lcdwiki.com/2.4inch_SPI_Module_ILI9341_SKU:MSP2402</x:v>
      </x:c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.5" hidden="0" customWidth="1"/>
    <x:col min="2" max="2" width="53.75" hidden="0" customWidth="1"/>
    <x:col min="3" max="3" width="62.5" hidden="0" customWidth="1"/>
    <x:col min="4" max="4" width="28.75" hidden="0" customWidth="1"/>
  </x:cols>
  <x:sheetData>
    <x:row r="1">
      <x:c r="A1" s="2"/>
      <x:c r="B1" s="2"/>
      <x:c r="C1" s="2"/>
      <x:c r="D1" s="2"/>
    </x:row>
    <x:row r="2">
      <x:c r="A2" s="3" t="str">
        <x:v>仍需关闭的事项</x:v>
      </x:c>
      <x:c r="B2" s="2"/>
      <x:c r="C2" s="2"/>
      <x:c r="D2" s="2"/>
    </x:row>
    <x:row r="3">
      <x:c r="A3" s="2"/>
      <x:c r="B3" s="2"/>
      <x:c r="C3" s="2"/>
      <x:c r="D3" s="2"/>
    </x:row>
    <x:row r="4">
      <x:c r="A4" s="2"/>
      <x:c r="B4" s="2"/>
      <x:c r="C4" s="2"/>
      <x:c r="D4" s="2"/>
    </x:row>
    <x:row r="5" ht="30" customHeight="1">
      <x:c r="A5" s="6" t="str">
        <x:v>类别</x:v>
      </x:c>
      <x:c r="B5" s="6" t="str">
        <x:v>当前问题</x:v>
      </x:c>
      <x:c r="C5" s="6" t="str">
        <x:v>下一步</x:v>
      </x:c>
      <x:c r="D5" s="6" t="str">
        <x:v>当前影响</x:v>
      </x:c>
    </x:row>
    <x:row r="6" ht="70" customHeight="1">
      <x:c r="A6" s="2" t="str">
        <x:v>PCB</x:v>
      </x:c>
      <x:c r="B6" s="7" t="str">
        <x:v>74项未连通，16网；I²S换层和回流待整理</x:v>
      </x:c>
      <x:c r="C6" s="7" t="str">
        <x:v>当前局部供电网已闭合；继续联合出线，重建地铜并复跑原生DRC</x:v>
      </x:c>
      <x:c r="D6" s="7" t="str">
        <x:v>阻止定制板投产</x:v>
      </x:c>
    </x:row>
    <x:row r="7" ht="70" customHeight="1">
      <x:c r="A7" s="2" t="str">
        <x:v>扫描接口</x:v>
      </x:c>
      <x:c r="B7" s="7" t="str">
        <x:v>复位字高位、节点映射冲突已有独立候选通过</x:v>
      </x:c>
      <x:c r="C7" s="7" t="str">
        <x:v>接入真实产品复位/共享总线控制器，做完整联合回归和PnR</x:v>
      </x:c>
      <x:c r="D7" s="7" t="str">
        <x:v>尚未产品集成</x:v>
      </x:c>
    </x:row>
    <x:row r="8" ht="70" customHeight="1">
      <x:c r="A8" s="2" t="str">
        <x:v>大屏</x:v>
      </x:c>
      <x:c r="B8" s="7" t="str">
        <x:v>确切SPI/5V/CTP出货SKU、针脚和整价未闭合</x:v>
      </x:c>
      <x:c r="C8" s="7" t="str">
        <x:v>取得同一出货版本的完整机械/接口图和含触摸整价</x:v>
      </x:c>
      <x:c r="D8" s="7" t="str">
        <x:v>阻止大屏最终订货与线束</x:v>
      </x:c>
    </x:row>
    <x:row r="9" ht="70" customHeight="1">
      <x:c r="A9" s="2" t="str">
        <x:v>小屏</x:v>
      </x:c>
      <x:c r="B9" s="7" t="str">
        <x:v>型号选MSP2401，已完成错位接线表</x:v>
      </x:c>
      <x:c r="C9" s="7" t="str">
        <x:v>核实际商品版、公母/视角及含运价；到货后点亮验证</x:v>
      </x:c>
      <x:c r="D9" s="7" t="str">
        <x:v>资料推进，实物待验</x:v>
      </x:c>
    </x:row>
    <x:row r="10" ht="70" customHeight="1">
      <x:c r="A10" s="2" t="str">
        <x:v>供电</x:v>
      </x:c>
      <x:c r="B10" s="7" t="str">
        <x:v>真实双屏启动/稳态电流、压降和热未测</x:v>
      </x:c>
      <x:c r="C10" s="7" t="str">
        <x:v>用实际负载替换假设，验证F1/R67与掉电/反灌</x:v>
      </x:c>
      <x:c r="D10" s="7" t="str">
        <x:v>阻止电源链冻结</x:v>
      </x:c>
    </x:row>
    <x:row r="11" ht="70" customHeight="1">
      <x:c r="A11" s="2" t="str">
        <x:v>传感</x:v>
      </x:c>
      <x:c r="B11" s="7" t="str">
        <x:v>覆盖层/电极/寄生/漂移及连续位置未实测</x:v>
      </x:c>
      <x:c r="C11" s="7" t="str">
        <x:v>先做少量三电极小样，再确定完整电极几何</x:v>
      </x:c>
      <x:c r="D11" s="7" t="str">
        <x:v>阻止电极板最终制造</x:v>
      </x:c>
    </x:row>
    <x:row r="12" ht="70" customHeight="1">
      <x:c r="A12" s="2" t="str">
        <x:v>结构</x:v>
      </x:c>
      <x:c r="B12" s="7" t="str">
        <x:v>面板与载板、孔位/高度/按钮旋钮未配准</x:v>
      </x:c>
      <x:c r="C12" s="7" t="str">
        <x:v>据确切模块和Nano实物完成装配图/纸样</x:v>
      </x:c>
      <x:c r="D12" s="7" t="str">
        <x:v>阻止外壳加工与直接叠插</x:v>
      </x:c>
    </x:row>
    <x:row r="13" ht="70" customHeight="1">
      <x:c r="A13" s="2" t="str">
        <x:v>供料</x:v>
      </x:c>
      <x:c r="B13" s="7" t="str">
        <x:v>C318884散买0但国内页面有贴片库存；已把5按键改交工厂</x:v>
      </x:c>
      <x:c r="C13" s="7" t="str">
        <x:v>最终平台匹配217个SMT位号，核按键上料费及连接器机械图</x:v>
      </x:c>
      <x:c r="D13" s="7" t="str">
        <x:v>供料路径已选，待匹配报价</x:v>
      </x:c>
    </x:row>
    <x:row r="14" ht="70" customHeight="1">
      <x:c r="A14" s="2" t="str">
        <x:v>固件</x:v>
      </x:c>
      <x:c r="B14" s="7" t="str">
        <x:v>86号联合结构探针路由失败，没有最终整机码流</x:v>
      </x:c>
      <x:c r="C14" s="7" t="str">
        <x:v>保留既定功能完成产品顶层/驱动、约束、联合PnR/STA</x:v>
      </x:c>
      <x:c r="D14" s="7" t="str">
        <x:v>阻止整机调试签收</x:v>
      </x:c>
    </x:row>
    <x:row r="15" ht="70" customHeight="1">
      <x:c r="A15" s="2" t="str">
        <x:v>功能</x:v>
      </x:c>
      <x:c r="B15" s="7" t="str">
        <x:v>完整录放/TF文件/最终混音/保存和实体UI未形成最终闭环</x:v>
      </x:c>
      <x:c r="C15" s="7" t="str">
        <x:v>继承已有数字成果，逐项系统验证</x:v>
      </x:c>
      <x:c r="D15" s="7" t="str">
        <x:v>目标仍待完成</x:v>
      </x:c>
    </x:row>
    <x:row r="16" ht="70" customHeight="1">
      <x:c r="A16" s="2" t="str">
        <x:v>交互</x:v>
      </x:c>
      <x:c r="B16" s="7" t="str">
        <x:v>25/26端点、MIDI基准和部分作用范围未冻结</x:v>
      </x:c>
      <x:c r="C16" s="7" t="str">
        <x:v>查回用户已有决定；硬件仍保留84容量</x:v>
      </x:c>
      <x:c r="D16" s="7" t="str">
        <x:v>不阻断通用电子件准备</x:v>
      </x:c>
    </x:row>
    <x:row r="17" ht="70" customHeight="1">
      <x:c r="A17" s="2" t="str">
        <x:v>制造报价</x:v>
      </x:c>
      <x:c r="B17" s="7" t="str">
        <x:v>同版Gerber/钻孔/BOM/CPL/DFM和完整人民币报价未完成</x:v>
      </x:c>
      <x:c r="C17" s="7" t="str">
        <x:v>先完成设计和真实平台匹配，再交用户下单</x:v>
      </x:c>
      <x:c r="D17" s="7" t="str">
        <x:v>制造放行仍为false</x:v>
      </x:c>
    </x:row>
    <x:row r="18">
      <x:c r="A18" s="2"/>
      <x:c r="B18" s="2"/>
      <x:c r="C18" s="2"/>
      <x:c r="D18" s="2"/>
    </x:row>
    <x:row r="19">
      <x:c r="A19" s="2"/>
      <x:c r="B19" s="2"/>
      <x:c r="C19" s="2"/>
      <x:c r="D19" s="2"/>
    </x:row>
  </x:sheetData>
  <x:pageMargins left="0.7" right="0.7" top="0.75" bottom="0.75" header="0.3" footer="0.3"/>
  <x:tableParts count="1">
    <x:tablePart xmlns:r="http://schemas.openxmlformats.org/officeDocument/2006/relationships" r:id="R29fdb2d635b042e6"/>
  </x:tableParts>
</x:worksheet>
</file>